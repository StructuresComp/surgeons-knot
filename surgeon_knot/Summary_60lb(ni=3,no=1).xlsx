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CC569CFB-EDA3-49C0-94B9-170C54D2CC40}" xr6:coauthVersionLast="47" xr6:coauthVersionMax="47" xr10:uidLastSave="{00000000-0000-0000-0000-000000000000}"/>
  <bookViews>
    <workbookView xWindow="-120" yWindow="-120" windowWidth="29040" windowHeight="15720" xr2:uid="{778308DE-EE87-45D1-8653-0828AEFA584A}"/>
  </bookViews>
  <sheets>
    <sheet name="Summary" sheetId="5" r:id="rId1"/>
    <sheet name="60lb(ni=3,no=1)_T1" sheetId="4" r:id="rId2"/>
    <sheet name="60lb(ni=3,no=1)_T2" sheetId="1" r:id="rId3"/>
    <sheet name="60lb(ni=3,no=1)T3" sheetId="3" r:id="rId4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5" l="1"/>
  <c r="B28" i="5"/>
  <c r="C28" i="5"/>
  <c r="D28" i="5"/>
  <c r="E28" i="5"/>
  <c r="F28" i="5"/>
  <c r="G28" i="5"/>
  <c r="H28" i="5"/>
  <c r="I28" i="5"/>
  <c r="J28" i="5"/>
  <c r="K28" i="5"/>
  <c r="A21" i="5"/>
  <c r="B21" i="5"/>
  <c r="C21" i="5"/>
  <c r="D21" i="5"/>
  <c r="E21" i="5"/>
  <c r="F21" i="5"/>
  <c r="G21" i="5"/>
  <c r="H21" i="5"/>
  <c r="I21" i="5"/>
  <c r="J21" i="5"/>
  <c r="K21" i="5"/>
  <c r="A22" i="5"/>
  <c r="B22" i="5"/>
  <c r="C22" i="5"/>
  <c r="D22" i="5"/>
  <c r="E22" i="5"/>
  <c r="F22" i="5"/>
  <c r="G22" i="5"/>
  <c r="H22" i="5"/>
  <c r="I22" i="5"/>
  <c r="J22" i="5"/>
  <c r="K22" i="5"/>
  <c r="A23" i="5"/>
  <c r="B23" i="5"/>
  <c r="C23" i="5"/>
  <c r="D23" i="5"/>
  <c r="E23" i="5"/>
  <c r="F23" i="5"/>
  <c r="G23" i="5"/>
  <c r="H23" i="5"/>
  <c r="I23" i="5"/>
  <c r="J23" i="5"/>
  <c r="K23" i="5"/>
  <c r="A24" i="5"/>
  <c r="B24" i="5"/>
  <c r="C24" i="5"/>
  <c r="D24" i="5"/>
  <c r="E24" i="5"/>
  <c r="F24" i="5"/>
  <c r="G24" i="5"/>
  <c r="H24" i="5"/>
  <c r="I24" i="5"/>
  <c r="J24" i="5"/>
  <c r="K24" i="5"/>
  <c r="A25" i="5"/>
  <c r="B25" i="5"/>
  <c r="C25" i="5"/>
  <c r="D25" i="5"/>
  <c r="E25" i="5"/>
  <c r="F25" i="5"/>
  <c r="G25" i="5"/>
  <c r="H25" i="5"/>
  <c r="I25" i="5"/>
  <c r="J25" i="5"/>
  <c r="K25" i="5"/>
  <c r="A26" i="5"/>
  <c r="B26" i="5"/>
  <c r="C26" i="5"/>
  <c r="D26" i="5"/>
  <c r="E26" i="5"/>
  <c r="F26" i="5"/>
  <c r="G26" i="5"/>
  <c r="H26" i="5"/>
  <c r="I26" i="5"/>
  <c r="J26" i="5"/>
  <c r="K26" i="5"/>
  <c r="A27" i="5"/>
  <c r="B27" i="5"/>
  <c r="C27" i="5"/>
  <c r="D27" i="5"/>
  <c r="E27" i="5"/>
  <c r="F27" i="5"/>
  <c r="G27" i="5"/>
  <c r="H27" i="5"/>
  <c r="I27" i="5"/>
  <c r="J27" i="5"/>
  <c r="K27" i="5"/>
  <c r="A17" i="5"/>
  <c r="B17" i="5"/>
  <c r="C17" i="5"/>
  <c r="D17" i="5"/>
  <c r="E17" i="5"/>
  <c r="F17" i="5"/>
  <c r="G17" i="5"/>
  <c r="H17" i="5"/>
  <c r="I17" i="5"/>
  <c r="J17" i="5"/>
  <c r="K17" i="5"/>
  <c r="A18" i="5"/>
  <c r="B18" i="5"/>
  <c r="C18" i="5"/>
  <c r="D18" i="5"/>
  <c r="E18" i="5"/>
  <c r="F18" i="5"/>
  <c r="G18" i="5"/>
  <c r="H18" i="5"/>
  <c r="I18" i="5"/>
  <c r="J18" i="5"/>
  <c r="K18" i="5"/>
  <c r="A19" i="5"/>
  <c r="B19" i="5"/>
  <c r="C19" i="5"/>
  <c r="D19" i="5"/>
  <c r="E19" i="5"/>
  <c r="F19" i="5"/>
  <c r="G19" i="5"/>
  <c r="H19" i="5"/>
  <c r="I19" i="5"/>
  <c r="J19" i="5"/>
  <c r="K19" i="5"/>
  <c r="A20" i="5"/>
  <c r="B20" i="5"/>
  <c r="C20" i="5"/>
  <c r="D20" i="5"/>
  <c r="E20" i="5"/>
  <c r="F20" i="5"/>
  <c r="G20" i="5"/>
  <c r="H20" i="5"/>
  <c r="I20" i="5"/>
  <c r="J20" i="5"/>
  <c r="K20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<sst xmlns="http://schemas.openxmlformats.org/spreadsheetml/2006/main" count="34" uniqueCount="8">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</sst>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28"/>
  <sheetViews>
    <sheetView tabSelected="1" workbookViewId="0">
      <selection activeCell="P22" sqref="P22"/>
    </sheetView>
  </sheetViews>
  <sheetFormatPr defaultRowHeight="15" x14ac:dyDescent="0.25"/>
  <sheetData>
    <row r="1" spans="1:11" x14ac:dyDescent="0.25">
      <c r="A1" s="7" t="s">
        <v>5</v>
      </c>
      <c r="B1" s="11" t="s">
        <v>0</v>
      </c>
      <c r="C1" s="12"/>
      <c r="D1" s="11" t="s">
        <v>1</v>
      </c>
      <c r="E1" s="12"/>
      <c r="F1" s="11" t="s">
        <v>2</v>
      </c>
      <c r="G1" s="12"/>
      <c r="H1" s="11" t="s">
        <v>3</v>
      </c>
      <c r="I1" s="12"/>
      <c r="J1" s="11" t="s">
        <v>4</v>
      </c>
      <c r="K1" s="12"/>
    </row>
    <row r="2" spans="1:11" ht="15.75" thickBot="1" x14ac:dyDescent="0.3">
      <c r="A2" s="8"/>
      <c r="B2" s="9" t="s">
        <v>6</v>
      </c>
      <c r="C2" s="10" t="s">
        <v>7</v>
      </c>
      <c r="D2" s="9" t="s">
        <v>6</v>
      </c>
      <c r="E2" s="10" t="s">
        <v>7</v>
      </c>
      <c r="F2" s="9" t="s">
        <v>6</v>
      </c>
      <c r="G2" s="10" t="s">
        <v>7</v>
      </c>
      <c r="H2" s="9" t="s">
        <v>6</v>
      </c>
      <c r="I2" s="10" t="s">
        <v>7</v>
      </c>
      <c r="J2" s="9" t="s">
        <v>6</v>
      </c>
      <c r="K2" s="10" t="s">
        <v>7</v>
      </c>
    </row>
    <row r="3" spans="1:11" x14ac:dyDescent="0.25">
      <c r="A3" s="13">
        <f>AVERAGE('60lb(ni=3,no=1)_T2'!A2,'60lb(ni=3,no=1)_T1'!A2,'60lb(ni=3,no=1)T3'!A2)</f>
        <v>455.52504999026866</v>
      </c>
      <c r="B3" s="14">
        <f>AVERAGE('60lb(ni=3,no=1)_T2'!B2,'60lb(ni=3,no=1)_T1'!B2,'60lb(ni=3,no=1)T3'!B2)</f>
        <v>0</v>
      </c>
      <c r="C3" s="15">
        <f>_xlfn.STDEV.P('60lb(ni=3,no=1)_T2'!B2,'60lb(ni=3,no=1)_T1'!B2,'60lb(ni=3,no=1)T3'!B2)</f>
        <v>0</v>
      </c>
      <c r="D3" s="14">
        <f>AVERAGE('60lb(ni=3,no=1)_T2'!C2,'60lb(ni=3,no=1)_T1'!C2,'60lb(ni=3,no=1)T3'!C2)</f>
        <v>61.004542478455697</v>
      </c>
      <c r="E3" s="15">
        <f>_xlfn.STDEV.P('60lb(ni=3,no=1)_T2'!C2,'60lb(ni=3,no=1)_T1'!C2,'60lb(ni=3,no=1)T3'!C2)</f>
        <v>3.5418401287694219</v>
      </c>
      <c r="F3" s="14">
        <f>AVERAGE('60lb(ni=3,no=1)_T2'!D2,'60lb(ni=3,no=1)_T1'!D2,'60lb(ni=3,no=1)T3'!D2)</f>
        <v>190.86339650687501</v>
      </c>
      <c r="G3" s="15">
        <f>_xlfn.STDEV.P('60lb(ni=3,no=1)_T2'!D2,'60lb(ni=3,no=1)_T1'!D2,'60lb(ni=3,no=1)T3'!D2)</f>
        <v>13.2170155514426</v>
      </c>
      <c r="H3" s="14">
        <f>AVERAGE('60lb(ni=3,no=1)_T2'!E2,'60lb(ni=3,no=1)_T1'!E2,'60lb(ni=3,no=1)T3'!E2)</f>
        <v>35.469701474049373</v>
      </c>
      <c r="I3" s="15">
        <f>_xlfn.STDEV.P('60lb(ni=3,no=1)_T2'!E2,'60lb(ni=3,no=1)_T1'!E2,'60lb(ni=3,no=1)T3'!E2)</f>
        <v>0.38966108129655735</v>
      </c>
      <c r="J3" s="14">
        <f>AVERAGE('60lb(ni=3,no=1)_T2'!F2,'60lb(ni=3,no=1)_T1'!F2,'60lb(ni=3,no=1)T3'!F2)</f>
        <v>96.174447452708435</v>
      </c>
      <c r="K3" s="15">
        <f>_xlfn.STDEV.P('60lb(ni=3,no=1)_T2'!F2,'60lb(ni=3,no=1)_T1'!F2,'60lb(ni=3,no=1)T3'!F2)</f>
        <v>24.829679646322639</v>
      </c>
    </row>
    <row r="4" spans="1:11" x14ac:dyDescent="0.25">
      <c r="A4" s="5">
        <f>AVERAGE('60lb(ni=3,no=1)_T2'!A3,'60lb(ni=3,no=1)_T1'!A3,'60lb(ni=3,no=1)T3'!A3)</f>
        <v>445.52504999026866</v>
      </c>
      <c r="B4" s="1">
        <f>AVERAGE('60lb(ni=3,no=1)_T2'!B3,'60lb(ni=3,no=1)_T1'!B3,'60lb(ni=3,no=1)T3'!B3)</f>
        <v>4.6666666666666669E-2</v>
      </c>
      <c r="C4" s="2">
        <f>_xlfn.STDEV.P('60lb(ni=3,no=1)_T2'!B3,'60lb(ni=3,no=1)_T1'!B3,'60lb(ni=3,no=1)T3'!B3)</f>
        <v>2.4944382578492946E-2</v>
      </c>
      <c r="D4" s="1">
        <f>AVERAGE('60lb(ni=3,no=1)_T2'!C3,'60lb(ni=3,no=1)_T1'!C3,'60lb(ni=3,no=1)T3'!C3)</f>
        <v>60.736658349701997</v>
      </c>
      <c r="E4" s="2">
        <f>_xlfn.STDEV.P('60lb(ni=3,no=1)_T2'!C3,'60lb(ni=3,no=1)_T1'!C3,'60lb(ni=3,no=1)T3'!C3)</f>
        <v>3.5308952437085055</v>
      </c>
      <c r="F4" s="1">
        <f>AVERAGE('60lb(ni=3,no=1)_T2'!D3,'60lb(ni=3,no=1)_T1'!D3,'60lb(ni=3,no=1)T3'!D3)</f>
        <v>191.50501495284132</v>
      </c>
      <c r="G4" s="2">
        <f>_xlfn.STDEV.P('60lb(ni=3,no=1)_T2'!D3,'60lb(ni=3,no=1)_T1'!D3,'60lb(ni=3,no=1)T3'!D3)</f>
        <v>12.784286511709134</v>
      </c>
      <c r="H4" s="1">
        <f>AVERAGE('60lb(ni=3,no=1)_T2'!E3,'60lb(ni=3,no=1)_T1'!E3,'60lb(ni=3,no=1)T3'!E3)</f>
        <v>33.756546513068336</v>
      </c>
      <c r="I4" s="2">
        <f>_xlfn.STDEV.P('60lb(ni=3,no=1)_T2'!E3,'60lb(ni=3,no=1)_T1'!E3,'60lb(ni=3,no=1)T3'!E3)</f>
        <v>1.1964697615655759</v>
      </c>
      <c r="J4" s="1">
        <f>AVERAGE('60lb(ni=3,no=1)_T2'!F3,'60lb(ni=3,no=1)_T1'!F3,'60lb(ni=3,no=1)T3'!F3)</f>
        <v>79.308759356585668</v>
      </c>
      <c r="K4" s="2">
        <f>_xlfn.STDEV.P('60lb(ni=3,no=1)_T2'!F3,'60lb(ni=3,no=1)_T1'!F3,'60lb(ni=3,no=1)T3'!F3)</f>
        <v>18.670209369333453</v>
      </c>
    </row>
    <row r="5" spans="1:11" x14ac:dyDescent="0.25">
      <c r="A5" s="5">
        <f>AVERAGE('60lb(ni=3,no=1)_T2'!A4,'60lb(ni=3,no=1)_T1'!A4,'60lb(ni=3,no=1)T3'!A4)</f>
        <v>435.52504999026866</v>
      </c>
      <c r="B5" s="1">
        <f>AVERAGE('60lb(ni=3,no=1)_T2'!B4,'60lb(ni=3,no=1)_T1'!B4,'60lb(ni=3,no=1)T3'!B4)</f>
        <v>0.06</v>
      </c>
      <c r="C5" s="2">
        <f>_xlfn.STDEV.P('60lb(ni=3,no=1)_T2'!B4,'60lb(ni=3,no=1)_T1'!B4,'60lb(ni=3,no=1)T3'!B4)</f>
        <v>2.9439202887759506E-2</v>
      </c>
      <c r="D5" s="1">
        <f>AVERAGE('60lb(ni=3,no=1)_T2'!C4,'60lb(ni=3,no=1)_T1'!C4,'60lb(ni=3,no=1)T3'!C4)</f>
        <v>60.329213781387836</v>
      </c>
      <c r="E5" s="2">
        <f>_xlfn.STDEV.P('60lb(ni=3,no=1)_T2'!C4,'60lb(ni=3,no=1)_T1'!C4,'60lb(ni=3,no=1)T3'!C4)</f>
        <v>3.4110307547210135</v>
      </c>
      <c r="F5" s="1">
        <f>AVERAGE('60lb(ni=3,no=1)_T2'!D4,'60lb(ni=3,no=1)_T1'!D4,'60lb(ni=3,no=1)T3'!D4)</f>
        <v>191.42882978535201</v>
      </c>
      <c r="G5" s="2">
        <f>_xlfn.STDEV.P('60lb(ni=3,no=1)_T2'!D4,'60lb(ni=3,no=1)_T1'!D4,'60lb(ni=3,no=1)T3'!D4)</f>
        <v>13.263809866864257</v>
      </c>
      <c r="H5" s="1">
        <f>AVERAGE('60lb(ni=3,no=1)_T2'!E4,'60lb(ni=3,no=1)_T1'!E4,'60lb(ni=3,no=1)T3'!E4)</f>
        <v>33.133356337704235</v>
      </c>
      <c r="I5" s="2">
        <f>_xlfn.STDEV.P('60lb(ni=3,no=1)_T2'!E4,'60lb(ni=3,no=1)_T1'!E4,'60lb(ni=3,no=1)T3'!E4)</f>
        <v>0.8741789102102504</v>
      </c>
      <c r="J5" s="1">
        <f>AVERAGE('60lb(ni=3,no=1)_T2'!F4,'60lb(ni=3,no=1)_T1'!F4,'60lb(ni=3,no=1)T3'!F4)</f>
        <v>63.070306665959038</v>
      </c>
      <c r="K5" s="2">
        <f>_xlfn.STDEV.P('60lb(ni=3,no=1)_T2'!F4,'60lb(ni=3,no=1)_T1'!F4,'60lb(ni=3,no=1)T3'!F4)</f>
        <v>14.063302035916912</v>
      </c>
    </row>
    <row r="6" spans="1:11" x14ac:dyDescent="0.25">
      <c r="A6" s="5">
        <f>AVERAGE('60lb(ni=3,no=1)_T2'!A5,'60lb(ni=3,no=1)_T1'!A5,'60lb(ni=3,no=1)T3'!A5)</f>
        <v>425.52504999026866</v>
      </c>
      <c r="B6" s="1">
        <f>AVERAGE('60lb(ni=3,no=1)_T2'!B5,'60lb(ni=3,no=1)_T1'!B5,'60lb(ni=3,no=1)T3'!B5)</f>
        <v>6.6666666666666666E-2</v>
      </c>
      <c r="C6" s="2">
        <f>_xlfn.STDEV.P('60lb(ni=3,no=1)_T2'!B5,'60lb(ni=3,no=1)_T1'!B5,'60lb(ni=3,no=1)T3'!B5)</f>
        <v>3.2998316455372198E-2</v>
      </c>
      <c r="D6" s="1">
        <f>AVERAGE('60lb(ni=3,no=1)_T2'!C5,'60lb(ni=3,no=1)_T1'!C5,'60lb(ni=3,no=1)T3'!C5)</f>
        <v>59.689168480472972</v>
      </c>
      <c r="E6" s="2">
        <f>_xlfn.STDEV.P('60lb(ni=3,no=1)_T2'!C5,'60lb(ni=3,no=1)_T1'!C5,'60lb(ni=3,no=1)T3'!C5)</f>
        <v>3.688267286995218</v>
      </c>
      <c r="F6" s="1">
        <f>AVERAGE('60lb(ni=3,no=1)_T2'!D5,'60lb(ni=3,no=1)_T1'!D5,'60lb(ni=3,no=1)T3'!D5)</f>
        <v>191.68547716373868</v>
      </c>
      <c r="G6" s="2">
        <f>_xlfn.STDEV.P('60lb(ni=3,no=1)_T2'!D5,'60lb(ni=3,no=1)_T1'!D5,'60lb(ni=3,no=1)T3'!D5)</f>
        <v>12.782035646881349</v>
      </c>
      <c r="H6" s="1">
        <f>AVERAGE('60lb(ni=3,no=1)_T2'!E5,'60lb(ni=3,no=1)_T1'!E5,'60lb(ni=3,no=1)T3'!E5)</f>
        <v>31.200410539541068</v>
      </c>
      <c r="I6" s="2">
        <f>_xlfn.STDEV.P('60lb(ni=3,no=1)_T2'!E5,'60lb(ni=3,no=1)_T1'!E5,'60lb(ni=3,no=1)T3'!E5)</f>
        <v>0.63652984358001885</v>
      </c>
      <c r="J6" s="1">
        <f>AVERAGE('60lb(ni=3,no=1)_T2'!F5,'60lb(ni=3,no=1)_T1'!F5,'60lb(ni=3,no=1)T3'!F5)</f>
        <v>56.346684716250103</v>
      </c>
      <c r="K6" s="2">
        <f>_xlfn.STDEV.P('60lb(ni=3,no=1)_T2'!F5,'60lb(ni=3,no=1)_T1'!F5,'60lb(ni=3,no=1)T3'!F5)</f>
        <v>12.19545246923669</v>
      </c>
    </row>
    <row r="7" spans="1:11" x14ac:dyDescent="0.25">
      <c r="A7" s="5">
        <f>AVERAGE('60lb(ni=3,no=1)_T2'!A6,'60lb(ni=3,no=1)_T1'!A6,'60lb(ni=3,no=1)T3'!A6)</f>
        <v>415.52504999026866</v>
      </c>
      <c r="B7" s="1">
        <f>AVERAGE('60lb(ni=3,no=1)_T2'!B6,'60lb(ni=3,no=1)_T1'!B6,'60lb(ni=3,no=1)T3'!B6)</f>
        <v>0.08</v>
      </c>
      <c r="C7" s="2">
        <f>_xlfn.STDEV.P('60lb(ni=3,no=1)_T2'!B6,'60lb(ni=3,no=1)_T1'!B6,'60lb(ni=3,no=1)T3'!B6)</f>
        <v>2.9439202887759492E-2</v>
      </c>
      <c r="D7" s="1">
        <f>AVERAGE('60lb(ni=3,no=1)_T2'!C6,'60lb(ni=3,no=1)_T1'!C6,'60lb(ni=3,no=1)T3'!C6)</f>
        <v>59.514324644759597</v>
      </c>
      <c r="E7" s="2">
        <f>_xlfn.STDEV.P('60lb(ni=3,no=1)_T2'!C6,'60lb(ni=3,no=1)_T1'!C6,'60lb(ni=3,no=1)T3'!C6)</f>
        <v>3.7160191633416098</v>
      </c>
      <c r="F7" s="1">
        <f>AVERAGE('60lb(ni=3,no=1)_T2'!D6,'60lb(ni=3,no=1)_T1'!D6,'60lb(ni=3,no=1)T3'!D6)</f>
        <v>192.49632107023433</v>
      </c>
      <c r="G7" s="2">
        <f>_xlfn.STDEV.P('60lb(ni=3,no=1)_T2'!D6,'60lb(ni=3,no=1)_T1'!D6,'60lb(ni=3,no=1)T3'!D6)</f>
        <v>12.203786873009895</v>
      </c>
      <c r="H7" s="1">
        <f>AVERAGE('60lb(ni=3,no=1)_T2'!E6,'60lb(ni=3,no=1)_T1'!E6,'60lb(ni=3,no=1)T3'!E6)</f>
        <v>30.565983613809767</v>
      </c>
      <c r="I7" s="2">
        <f>_xlfn.STDEV.P('60lb(ni=3,no=1)_T2'!E6,'60lb(ni=3,no=1)_T1'!E6,'60lb(ni=3,no=1)T3'!E6)</f>
        <v>0.41010302772898788</v>
      </c>
      <c r="J7" s="1">
        <f>AVERAGE('60lb(ni=3,no=1)_T2'!F6,'60lb(ni=3,no=1)_T1'!F6,'60lb(ni=3,no=1)T3'!F6)</f>
        <v>50.522227530923296</v>
      </c>
      <c r="K7" s="2">
        <f>_xlfn.STDEV.P('60lb(ni=3,no=1)_T2'!F6,'60lb(ni=3,no=1)_T1'!F6,'60lb(ni=3,no=1)T3'!F6)</f>
        <v>12.042410419022215</v>
      </c>
    </row>
    <row r="8" spans="1:11" x14ac:dyDescent="0.25">
      <c r="A8" s="5">
        <f>AVERAGE('60lb(ni=3,no=1)_T2'!A7,'60lb(ni=3,no=1)_T1'!A7,'60lb(ni=3,no=1)T3'!A7)</f>
        <v>405.52504999026866</v>
      </c>
      <c r="B8" s="1">
        <f>AVERAGE('60lb(ni=3,no=1)_T2'!B7,'60lb(ni=3,no=1)_T1'!B7,'60lb(ni=3,no=1)T3'!B7)</f>
        <v>0.10333333333333333</v>
      </c>
      <c r="C8" s="2">
        <f>_xlfn.STDEV.P('60lb(ni=3,no=1)_T2'!B7,'60lb(ni=3,no=1)_T1'!B7,'60lb(ni=3,no=1)T3'!B7)</f>
        <v>4.1899350299921777E-2</v>
      </c>
      <c r="D8" s="1">
        <f>AVERAGE('60lb(ni=3,no=1)_T2'!C7,'60lb(ni=3,no=1)_T1'!C7,'60lb(ni=3,no=1)T3'!C7)</f>
        <v>59.298579037709629</v>
      </c>
      <c r="E8" s="2">
        <f>_xlfn.STDEV.P('60lb(ni=3,no=1)_T2'!C7,'60lb(ni=3,no=1)_T1'!C7,'60lb(ni=3,no=1)T3'!C7)</f>
        <v>3.7774950438724328</v>
      </c>
      <c r="F8" s="1">
        <f>AVERAGE('60lb(ni=3,no=1)_T2'!D7,'60lb(ni=3,no=1)_T1'!D7,'60lb(ni=3,no=1)T3'!D7)</f>
        <v>193.06579957884367</v>
      </c>
      <c r="G8" s="2">
        <f>_xlfn.STDEV.P('60lb(ni=3,no=1)_T2'!D7,'60lb(ni=3,no=1)_T1'!D7,'60lb(ni=3,no=1)T3'!D7)</f>
        <v>12.938473185721124</v>
      </c>
      <c r="H8" s="1">
        <f>AVERAGE('60lb(ni=3,no=1)_T2'!E7,'60lb(ni=3,no=1)_T1'!E7,'60lb(ni=3,no=1)T3'!E7)</f>
        <v>28.717313443400467</v>
      </c>
      <c r="I8" s="2">
        <f>_xlfn.STDEV.P('60lb(ni=3,no=1)_T2'!E7,'60lb(ni=3,no=1)_T1'!E7,'60lb(ni=3,no=1)T3'!E7)</f>
        <v>1.1438174274742035</v>
      </c>
      <c r="J8" s="1">
        <f>AVERAGE('60lb(ni=3,no=1)_T2'!F7,'60lb(ni=3,no=1)_T1'!F7,'60lb(ni=3,no=1)T3'!F7)</f>
        <v>43.694328537806939</v>
      </c>
      <c r="K8" s="2">
        <f>_xlfn.STDEV.P('60lb(ni=3,no=1)_T2'!F7,'60lb(ni=3,no=1)_T1'!F7,'60lb(ni=3,no=1)T3'!F7)</f>
        <v>10.666042269520929</v>
      </c>
    </row>
    <row r="9" spans="1:11" x14ac:dyDescent="0.25">
      <c r="A9" s="5">
        <f>AVERAGE('60lb(ni=3,no=1)_T2'!A8,'60lb(ni=3,no=1)_T1'!A8,'60lb(ni=3,no=1)T3'!A8)</f>
        <v>395.52504999026866</v>
      </c>
      <c r="B9" s="1">
        <f>AVERAGE('60lb(ni=3,no=1)_T2'!B8,'60lb(ni=3,no=1)_T1'!B8,'60lb(ni=3,no=1)T3'!B8)</f>
        <v>0.11666666666666668</v>
      </c>
      <c r="C9" s="2">
        <f>_xlfn.STDEV.P('60lb(ni=3,no=1)_T2'!B8,'60lb(ni=3,no=1)_T1'!B8,'60lb(ni=3,no=1)T3'!B8)</f>
        <v>4.10960933531265E-2</v>
      </c>
      <c r="D9" s="1">
        <f>AVERAGE('60lb(ni=3,no=1)_T2'!C8,'60lb(ni=3,no=1)_T1'!C8,'60lb(ni=3,no=1)T3'!C8)</f>
        <v>59.123735201996233</v>
      </c>
      <c r="E9" s="2">
        <f>_xlfn.STDEV.P('60lb(ni=3,no=1)_T2'!C8,'60lb(ni=3,no=1)_T1'!C8,'60lb(ni=3,no=1)T3'!C8)</f>
        <v>3.8066630539676538</v>
      </c>
      <c r="F9" s="1">
        <f>AVERAGE('60lb(ni=3,no=1)_T2'!D8,'60lb(ni=3,no=1)_T1'!D8,'60lb(ni=3,no=1)T3'!D8)</f>
        <v>193.90630850630899</v>
      </c>
      <c r="G9" s="2">
        <f>_xlfn.STDEV.P('60lb(ni=3,no=1)_T2'!D8,'60lb(ni=3,no=1)_T1'!D8,'60lb(ni=3,no=1)T3'!D8)</f>
        <v>12.397159742503517</v>
      </c>
      <c r="H9" s="1">
        <f>AVERAGE('60lb(ni=3,no=1)_T2'!E8,'60lb(ni=3,no=1)_T1'!E8,'60lb(ni=3,no=1)T3'!E8)</f>
        <v>27.843094264833468</v>
      </c>
      <c r="I9" s="2">
        <f>_xlfn.STDEV.P('60lb(ni=3,no=1)_T2'!E8,'60lb(ni=3,no=1)_T1'!E8,'60lb(ni=3,no=1)T3'!E8)</f>
        <v>1.3910070542127881</v>
      </c>
      <c r="J9" s="1">
        <f>AVERAGE('60lb(ni=3,no=1)_T2'!F8,'60lb(ni=3,no=1)_T1'!F8,'60lb(ni=3,no=1)T3'!F8)</f>
        <v>37.458381554033828</v>
      </c>
      <c r="K9" s="2">
        <f>_xlfn.STDEV.P('60lb(ni=3,no=1)_T2'!F8,'60lb(ni=3,no=1)_T1'!F8,'60lb(ni=3,no=1)T3'!F8)</f>
        <v>9.6942075331278055</v>
      </c>
    </row>
    <row r="10" spans="1:11" x14ac:dyDescent="0.25">
      <c r="A10" s="5">
        <f>AVERAGE('60lb(ni=3,no=1)_T2'!A9,'60lb(ni=3,no=1)_T1'!A9,'60lb(ni=3,no=1)T3'!A9)</f>
        <v>385.52504999026866</v>
      </c>
      <c r="B10" s="1">
        <f>AVERAGE('60lb(ni=3,no=1)_T2'!B9,'60lb(ni=3,no=1)_T1'!B9,'60lb(ni=3,no=1)T3'!B9)</f>
        <v>0.13666666666666669</v>
      </c>
      <c r="C10" s="2">
        <f>_xlfn.STDEV.P('60lb(ni=3,no=1)_T2'!B9,'60lb(ni=3,no=1)_T1'!B9,'60lb(ni=3,no=1)T3'!B9)</f>
        <v>4.4969125210773467E-2</v>
      </c>
      <c r="D10" s="1">
        <f>AVERAGE('60lb(ni=3,no=1)_T2'!C9,'60lb(ni=3,no=1)_T1'!C9,'60lb(ni=3,no=1)T3'!C9)</f>
        <v>58.809330926722367</v>
      </c>
      <c r="E10" s="2">
        <f>_xlfn.STDEV.P('60lb(ni=3,no=1)_T2'!C9,'60lb(ni=3,no=1)_T1'!C9,'60lb(ni=3,no=1)T3'!C9)</f>
        <v>3.9185872495341743</v>
      </c>
      <c r="F10" s="1">
        <f>AVERAGE('60lb(ni=3,no=1)_T2'!D9,'60lb(ni=3,no=1)_T1'!D9,'60lb(ni=3,no=1)T3'!D9)</f>
        <v>195.11425917078134</v>
      </c>
      <c r="G10" s="2">
        <f>_xlfn.STDEV.P('60lb(ni=3,no=1)_T2'!D9,'60lb(ni=3,no=1)_T1'!D9,'60lb(ni=3,no=1)T3'!D9)</f>
        <v>13.91882416421962</v>
      </c>
      <c r="H10" s="1">
        <f>AVERAGE('60lb(ni=3,no=1)_T2'!E9,'60lb(ni=3,no=1)_T1'!E9,'60lb(ni=3,no=1)T3'!E9)</f>
        <v>26.980111836633636</v>
      </c>
      <c r="I10" s="2">
        <f>_xlfn.STDEV.P('60lb(ni=3,no=1)_T2'!E9,'60lb(ni=3,no=1)_T1'!E9,'60lb(ni=3,no=1)T3'!E9)</f>
        <v>1.8826135401321216</v>
      </c>
      <c r="J10" s="1">
        <f>AVERAGE('60lb(ni=3,no=1)_T2'!F9,'60lb(ni=3,no=1)_T1'!F9,'60lb(ni=3,no=1)T3'!F9)</f>
        <v>33.798571959441603</v>
      </c>
      <c r="K10" s="2">
        <f>_xlfn.STDEV.P('60lb(ni=3,no=1)_T2'!F9,'60lb(ni=3,no=1)_T1'!F9,'60lb(ni=3,no=1)T3'!F9)</f>
        <v>8.0726062120232793</v>
      </c>
    </row>
    <row r="11" spans="1:11" x14ac:dyDescent="0.25">
      <c r="A11" s="5">
        <f>AVERAGE('60lb(ni=3,no=1)_T2'!A10,'60lb(ni=3,no=1)_T1'!A10,'60lb(ni=3,no=1)T3'!A10)</f>
        <v>375.52504999026866</v>
      </c>
      <c r="B11" s="1">
        <f>AVERAGE('60lb(ni=3,no=1)_T2'!B10,'60lb(ni=3,no=1)_T1'!B10,'60lb(ni=3,no=1)T3'!B10)</f>
        <v>0.17333333333333334</v>
      </c>
      <c r="C11" s="2">
        <f>_xlfn.STDEV.P('60lb(ni=3,no=1)_T2'!B10,'60lb(ni=3,no=1)_T1'!B10,'60lb(ni=3,no=1)T3'!B10)</f>
        <v>6.3420991968134832E-2</v>
      </c>
      <c r="D11" s="1">
        <f>AVERAGE('60lb(ni=3,no=1)_T2'!C10,'60lb(ni=3,no=1)_T1'!C10,'60lb(ni=3,no=1)T3'!C10)</f>
        <v>58.675388862345528</v>
      </c>
      <c r="E11" s="2">
        <f>_xlfn.STDEV.P('60lb(ni=3,no=1)_T2'!C10,'60lb(ni=3,no=1)_T1'!C10,'60lb(ni=3,no=1)T3'!C10)</f>
        <v>3.9141464805944266</v>
      </c>
      <c r="F11" s="1">
        <f>AVERAGE('60lb(ni=3,no=1)_T2'!D10,'60lb(ni=3,no=1)_T1'!D10,'60lb(ni=3,no=1)T3'!D10)</f>
        <v>195.098977190282</v>
      </c>
      <c r="G11" s="2">
        <f>_xlfn.STDEV.P('60lb(ni=3,no=1)_T2'!D10,'60lb(ni=3,no=1)_T1'!D10,'60lb(ni=3,no=1)T3'!D10)</f>
        <v>12.880532057598582</v>
      </c>
      <c r="H11" s="1">
        <f>AVERAGE('60lb(ni=3,no=1)_T2'!E10,'60lb(ni=3,no=1)_T1'!E10,'60lb(ni=3,no=1)T3'!E10)</f>
        <v>24.096761692413935</v>
      </c>
      <c r="I11" s="2">
        <f>_xlfn.STDEV.P('60lb(ni=3,no=1)_T2'!E10,'60lb(ni=3,no=1)_T1'!E10,'60lb(ni=3,no=1)T3'!E10)</f>
        <v>2.1214974932506956</v>
      </c>
      <c r="J11" s="1">
        <f>AVERAGE('60lb(ni=3,no=1)_T2'!F10,'60lb(ni=3,no=1)_T1'!F10,'60lb(ni=3,no=1)T3'!F10)</f>
        <v>29.688842880147302</v>
      </c>
      <c r="K11" s="2">
        <f>_xlfn.STDEV.P('60lb(ni=3,no=1)_T2'!F10,'60lb(ni=3,no=1)_T1'!F10,'60lb(ni=3,no=1)T3'!F10)</f>
        <v>7.1744354466569149</v>
      </c>
    </row>
    <row r="12" spans="1:11" x14ac:dyDescent="0.25">
      <c r="A12" s="5">
        <f>AVERAGE('60lb(ni=3,no=1)_T2'!A11,'60lb(ni=3,no=1)_T1'!A11,'60lb(ni=3,no=1)T3'!A11)</f>
        <v>365.52504999026866</v>
      </c>
      <c r="B12" s="1">
        <f>AVERAGE('60lb(ni=3,no=1)_T2'!B11,'60lb(ni=3,no=1)_T1'!B11,'60lb(ni=3,no=1)T3'!B11)</f>
        <v>0.22</v>
      </c>
      <c r="C12" s="2">
        <f>_xlfn.STDEV.P('60lb(ni=3,no=1)_T2'!B11,'60lb(ni=3,no=1)_T1'!B11,'60lb(ni=3,no=1)T3'!B11)</f>
        <v>8.6409875978771533E-2</v>
      </c>
      <c r="D12" s="1">
        <f>AVERAGE('60lb(ni=3,no=1)_T2'!C11,'60lb(ni=3,no=1)_T1'!C11,'60lb(ni=3,no=1)T3'!C11)</f>
        <v>58.087482083134432</v>
      </c>
      <c r="E12" s="2">
        <f>_xlfn.STDEV.P('60lb(ni=3,no=1)_T2'!C11,'60lb(ni=3,no=1)_T1'!C11,'60lb(ni=3,no=1)T3'!C11)</f>
        <v>3.7334197909689935</v>
      </c>
      <c r="F12" s="1">
        <f>AVERAGE('60lb(ni=3,no=1)_T2'!D11,'60lb(ni=3,no=1)_T1'!D11,'60lb(ni=3,no=1)T3'!D11)</f>
        <v>196.06309037178633</v>
      </c>
      <c r="G12" s="2">
        <f>_xlfn.STDEV.P('60lb(ni=3,no=1)_T2'!D11,'60lb(ni=3,no=1)_T1'!D11,'60lb(ni=3,no=1)T3'!D11)</f>
        <v>13.900109735948044</v>
      </c>
      <c r="H12" s="1">
        <f>AVERAGE('60lb(ni=3,no=1)_T2'!E11,'60lb(ni=3,no=1)_T1'!E11,'60lb(ni=3,no=1)T3'!E11)</f>
        <v>23.13512059599023</v>
      </c>
      <c r="I12" s="2">
        <f>_xlfn.STDEV.P('60lb(ni=3,no=1)_T2'!E11,'60lb(ni=3,no=1)_T1'!E11,'60lb(ni=3,no=1)T3'!E11)</f>
        <v>2.2423926146357731</v>
      </c>
      <c r="J12" s="1">
        <f>AVERAGE('60lb(ni=3,no=1)_T2'!F11,'60lb(ni=3,no=1)_T1'!F11,'60lb(ni=3,no=1)T3'!F11)</f>
        <v>26.254442497920866</v>
      </c>
      <c r="K12" s="2">
        <f>_xlfn.STDEV.P('60lb(ni=3,no=1)_T2'!F11,'60lb(ni=3,no=1)_T1'!F11,'60lb(ni=3,no=1)T3'!F11)</f>
        <v>6.3639315060356845</v>
      </c>
    </row>
    <row r="13" spans="1:11" x14ac:dyDescent="0.25">
      <c r="A13" s="5">
        <f>AVERAGE('60lb(ni=3,no=1)_T2'!A12,'60lb(ni=3,no=1)_T1'!A12,'60lb(ni=3,no=1)T3'!A12)</f>
        <v>355.52504999026866</v>
      </c>
      <c r="B13" s="1">
        <f>AVERAGE('60lb(ni=3,no=1)_T2'!B12,'60lb(ni=3,no=1)_T1'!B12,'60lb(ni=3,no=1)T3'!B12)</f>
        <v>0.27333333333333337</v>
      </c>
      <c r="C13" s="2">
        <f>_xlfn.STDEV.P('60lb(ni=3,no=1)_T2'!B12,'60lb(ni=3,no=1)_T1'!B12,'60lb(ni=3,no=1)T3'!B12)</f>
        <v>0.13960261060914617</v>
      </c>
      <c r="D13" s="1">
        <f>AVERAGE('60lb(ni=3,no=1)_T2'!C12,'60lb(ni=3,no=1)_T1'!C12,'60lb(ni=3,no=1)T3'!C12)</f>
        <v>57.003135672701035</v>
      </c>
      <c r="E13" s="2">
        <f>_xlfn.STDEV.P('60lb(ni=3,no=1)_T2'!C12,'60lb(ni=3,no=1)_T1'!C12,'60lb(ni=3,no=1)T3'!C12)</f>
        <v>3.6064666783180086</v>
      </c>
      <c r="F13" s="1">
        <f>AVERAGE('60lb(ni=3,no=1)_T2'!D12,'60lb(ni=3,no=1)_T1'!D12,'60lb(ni=3,no=1)T3'!D12)</f>
        <v>197.44341278689168</v>
      </c>
      <c r="G13" s="2">
        <f>_xlfn.STDEV.P('60lb(ni=3,no=1)_T2'!D12,'60lb(ni=3,no=1)_T1'!D12,'60lb(ni=3,no=1)T3'!D12)</f>
        <v>14.995335574335652</v>
      </c>
      <c r="H13" s="1">
        <f>AVERAGE('60lb(ni=3,no=1)_T2'!E12,'60lb(ni=3,no=1)_T1'!E12,'60lb(ni=3,no=1)T3'!E12)</f>
        <v>20.635168374298832</v>
      </c>
      <c r="I13" s="2">
        <f>_xlfn.STDEV.P('60lb(ni=3,no=1)_T2'!E12,'60lb(ni=3,no=1)_T1'!E12,'60lb(ni=3,no=1)T3'!E12)</f>
        <v>2.8280965494049757</v>
      </c>
      <c r="J13" s="1">
        <f>AVERAGE('60lb(ni=3,no=1)_T2'!F12,'60lb(ni=3,no=1)_T1'!F12,'60lb(ni=3,no=1)T3'!F12)</f>
        <v>23.140064766151799</v>
      </c>
      <c r="K13" s="2">
        <f>_xlfn.STDEV.P('60lb(ni=3,no=1)_T2'!F12,'60lb(ni=3,no=1)_T1'!F12,'60lb(ni=3,no=1)T3'!F12)</f>
        <v>5.7961081462804547</v>
      </c>
    </row>
    <row r="14" spans="1:11" x14ac:dyDescent="0.25">
      <c r="A14" s="5">
        <f>AVERAGE('60lb(ni=3,no=1)_T2'!A13,'60lb(ni=3,no=1)_T1'!A13,'60lb(ni=3,no=1)T3'!A13)</f>
        <v>345.52504999026866</v>
      </c>
      <c r="B14" s="1">
        <f>AVERAGE('60lb(ni=3,no=1)_T2'!B13,'60lb(ni=3,no=1)_T1'!B13,'60lb(ni=3,no=1)T3'!B13)</f>
        <v>0.32333333333333331</v>
      </c>
      <c r="C14" s="2">
        <f>_xlfn.STDEV.P('60lb(ni=3,no=1)_T2'!B13,'60lb(ni=3,no=1)_T1'!B13,'60lb(ni=3,no=1)T3'!B13)</f>
        <v>0.16779617264870964</v>
      </c>
      <c r="D14" s="1">
        <f>AVERAGE('60lb(ni=3,no=1)_T2'!C13,'60lb(ni=3,no=1)_T1'!C13,'60lb(ni=3,no=1)T3'!C13)</f>
        <v>56.735251543947335</v>
      </c>
      <c r="E14" s="2">
        <f>_xlfn.STDEV.P('60lb(ni=3,no=1)_T2'!C13,'60lb(ni=3,no=1)_T1'!C13,'60lb(ni=3,no=1)T3'!C13)</f>
        <v>3.6794563224958896</v>
      </c>
      <c r="F14" s="1">
        <f>AVERAGE('60lb(ni=3,no=1)_T2'!D13,'60lb(ni=3,no=1)_T1'!D13,'60lb(ni=3,no=1)T3'!D13)</f>
        <v>199.03543557891433</v>
      </c>
      <c r="G14" s="2">
        <f>_xlfn.STDEV.P('60lb(ni=3,no=1)_T2'!D13,'60lb(ni=3,no=1)_T1'!D13,'60lb(ni=3,no=1)T3'!D13)</f>
        <v>14.51645896083366</v>
      </c>
      <c r="H14" s="1">
        <f>AVERAGE('60lb(ni=3,no=1)_T2'!E13,'60lb(ni=3,no=1)_T1'!E13,'60lb(ni=3,no=1)T3'!E13)</f>
        <v>20.757873688308504</v>
      </c>
      <c r="I14" s="2">
        <f>_xlfn.STDEV.P('60lb(ni=3,no=1)_T2'!E13,'60lb(ni=3,no=1)_T1'!E13,'60lb(ni=3,no=1)T3'!E13)</f>
        <v>2.705409788964924</v>
      </c>
      <c r="J14" s="1">
        <f>AVERAGE('60lb(ni=3,no=1)_T2'!F13,'60lb(ni=3,no=1)_T1'!F13,'60lb(ni=3,no=1)T3'!F13)</f>
        <v>20.829339420643802</v>
      </c>
      <c r="K14" s="2">
        <f>_xlfn.STDEV.P('60lb(ni=3,no=1)_T2'!F13,'60lb(ni=3,no=1)_T1'!F13,'60lb(ni=3,no=1)T3'!F13)</f>
        <v>4.846241642087902</v>
      </c>
    </row>
    <row r="15" spans="1:11" x14ac:dyDescent="0.25">
      <c r="A15" s="5">
        <f>AVERAGE('60lb(ni=3,no=1)_T2'!A14,'60lb(ni=3,no=1)_T1'!A14,'60lb(ni=3,no=1)T3'!A14)</f>
        <v>335.52504999026866</v>
      </c>
      <c r="B15" s="1">
        <f>AVERAGE('60lb(ni=3,no=1)_T2'!B14,'60lb(ni=3,no=1)_T1'!B14,'60lb(ni=3,no=1)T3'!B14)</f>
        <v>0.37000000000000005</v>
      </c>
      <c r="C15" s="2">
        <f>_xlfn.STDEV.P('60lb(ni=3,no=1)_T2'!B14,'60lb(ni=3,no=1)_T1'!B14,'60lb(ni=3,no=1)T3'!B14)</f>
        <v>0.17907168024751055</v>
      </c>
      <c r="D15" s="1">
        <f>AVERAGE('60lb(ni=3,no=1)_T2'!C14,'60lb(ni=3,no=1)_T1'!C14,'60lb(ni=3,no=1)T3'!C14)</f>
        <v>56.082396347613894</v>
      </c>
      <c r="E15" s="2">
        <f>_xlfn.STDEV.P('60lb(ni=3,no=1)_T2'!C14,'60lb(ni=3,no=1)_T1'!C14,'60lb(ni=3,no=1)T3'!C14)</f>
        <v>3.6414270737749921</v>
      </c>
      <c r="F15" s="1">
        <f>AVERAGE('60lb(ni=3,no=1)_T2'!D14,'60lb(ni=3,no=1)_T1'!D14,'60lb(ni=3,no=1)T3'!D14)</f>
        <v>200.44946824512101</v>
      </c>
      <c r="G15" s="2">
        <f>_xlfn.STDEV.P('60lb(ni=3,no=1)_T2'!D14,'60lb(ni=3,no=1)_T1'!D14,'60lb(ni=3,no=1)T3'!D14)</f>
        <v>15.643306734036662</v>
      </c>
      <c r="H15" s="1">
        <f>AVERAGE('60lb(ni=3,no=1)_T2'!E14,'60lb(ni=3,no=1)_T1'!E14,'60lb(ni=3,no=1)T3'!E14)</f>
        <v>19.935793031445233</v>
      </c>
      <c r="I15" s="2">
        <f>_xlfn.STDEV.P('60lb(ni=3,no=1)_T2'!E14,'60lb(ni=3,no=1)_T1'!E14,'60lb(ni=3,no=1)T3'!E14)</f>
        <v>3.1265656962027224</v>
      </c>
      <c r="J15" s="1">
        <f>AVERAGE('60lb(ni=3,no=1)_T2'!F14,'60lb(ni=3,no=1)_T1'!F14,'60lb(ni=3,no=1)T3'!F14)</f>
        <v>19.449017005538767</v>
      </c>
      <c r="K15" s="2">
        <f>_xlfn.STDEV.P('60lb(ni=3,no=1)_T2'!F14,'60lb(ni=3,no=1)_T1'!F14,'60lb(ni=3,no=1)T3'!F14)</f>
        <v>4.9654645991030986</v>
      </c>
    </row>
    <row r="16" spans="1:11" x14ac:dyDescent="0.25">
      <c r="A16" s="5">
        <f>AVERAGE('60lb(ni=3,no=1)_T2'!A15,'60lb(ni=3,no=1)_T1'!A15,'60lb(ni=3,no=1)T3'!A15)</f>
        <v>325.52504999026866</v>
      </c>
      <c r="B16" s="1">
        <f>AVERAGE('60lb(ni=3,no=1)_T2'!B15,'60lb(ni=3,no=1)_T1'!B15,'60lb(ni=3,no=1)T3'!B15)</f>
        <v>0.44666666666666671</v>
      </c>
      <c r="C16" s="2">
        <f>_xlfn.STDEV.P('60lb(ni=3,no=1)_T2'!B15,'60lb(ni=3,no=1)_T1'!B15,'60lb(ni=3,no=1)T3'!B15)</f>
        <v>0.23471022323045249</v>
      </c>
      <c r="D16" s="1">
        <f>AVERAGE('60lb(ni=3,no=1)_T2'!C15,'60lb(ni=3,no=1)_T1'!C15,'60lb(ni=3,no=1)T3'!C15)</f>
        <v>54.827251331599307</v>
      </c>
      <c r="E16" s="2">
        <f>_xlfn.STDEV.P('60lb(ni=3,no=1)_T2'!C15,'60lb(ni=3,no=1)_T1'!C15,'60lb(ni=3,no=1)T3'!C15)</f>
        <v>4.7000448768076604</v>
      </c>
      <c r="F16" s="1">
        <f>AVERAGE('60lb(ni=3,no=1)_T2'!D15,'60lb(ni=3,no=1)_T1'!D15,'60lb(ni=3,no=1)T3'!D15)</f>
        <v>202.2388083735913</v>
      </c>
      <c r="G16" s="2">
        <f>_xlfn.STDEV.P('60lb(ni=3,no=1)_T2'!D15,'60lb(ni=3,no=1)_T1'!D15,'60lb(ni=3,no=1)T3'!D15)</f>
        <v>14.603264947512587</v>
      </c>
      <c r="H16" s="1">
        <f>AVERAGE('60lb(ni=3,no=1)_T2'!E15,'60lb(ni=3,no=1)_T1'!E15,'60lb(ni=3,no=1)T3'!E15)</f>
        <v>18.706267806267867</v>
      </c>
      <c r="I16" s="2">
        <f>_xlfn.STDEV.P('60lb(ni=3,no=1)_T2'!E15,'60lb(ni=3,no=1)_T1'!E15,'60lb(ni=3,no=1)T3'!E15)</f>
        <v>3.3905575197163427</v>
      </c>
      <c r="J16" s="1">
        <f>AVERAGE('60lb(ni=3,no=1)_T2'!F15,'60lb(ni=3,no=1)_T1'!F15,'60lb(ni=3,no=1)T3'!F15)</f>
        <v>16.544766505636101</v>
      </c>
      <c r="K16" s="2">
        <f>_xlfn.STDEV.P('60lb(ni=3,no=1)_T2'!F15,'60lb(ni=3,no=1)_T1'!F15,'60lb(ni=3,no=1)T3'!F15)</f>
        <v>4.0109208829464684</v>
      </c>
    </row>
    <row r="17" spans="1:11" x14ac:dyDescent="0.25">
      <c r="A17" s="5">
        <f>AVERAGE('60lb(ni=3,no=1)_T2'!A16,'60lb(ni=3,no=1)_T1'!A16,'60lb(ni=3,no=1)T3'!A16)</f>
        <v>315.52504999026866</v>
      </c>
      <c r="B17" s="1">
        <f>AVERAGE('60lb(ni=3,no=1)_T2'!B16,'60lb(ni=3,no=1)_T1'!B16,'60lb(ni=3,no=1)T3'!B16)</f>
        <v>0.54333333333333333</v>
      </c>
      <c r="C17" s="2">
        <f>_xlfn.STDEV.P('60lb(ni=3,no=1)_T2'!B16,'60lb(ni=3,no=1)_T1'!B16,'60lb(ni=3,no=1)T3'!B16)</f>
        <v>0.3164736253711446</v>
      </c>
      <c r="D17" s="1">
        <f>AVERAGE('60lb(ni=3,no=1)_T2'!C16,'60lb(ni=3,no=1)_T1'!C16,'60lb(ni=3,no=1)T3'!C16)</f>
        <v>53.203990373555733</v>
      </c>
      <c r="E17" s="2">
        <f>_xlfn.STDEV.P('60lb(ni=3,no=1)_T2'!C16,'60lb(ni=3,no=1)_T1'!C16,'60lb(ni=3,no=1)T3'!C16)</f>
        <v>6.3211780766284011</v>
      </c>
      <c r="F17" s="1">
        <f>AVERAGE('60lb(ni=3,no=1)_T2'!D16,'60lb(ni=3,no=1)_T1'!D16,'60lb(ni=3,no=1)T3'!D16)</f>
        <v>204.46683123639704</v>
      </c>
      <c r="G17" s="2">
        <f>_xlfn.STDEV.P('60lb(ni=3,no=1)_T2'!D16,'60lb(ni=3,no=1)_T1'!D16,'60lb(ni=3,no=1)T3'!D16)</f>
        <v>14.187615018956947</v>
      </c>
      <c r="H17" s="1">
        <f>AVERAGE('60lb(ni=3,no=1)_T2'!E16,'60lb(ni=3,no=1)_T1'!E16,'60lb(ni=3,no=1)T3'!E16)</f>
        <v>17.744626709844134</v>
      </c>
      <c r="I17" s="2">
        <f>_xlfn.STDEV.P('60lb(ni=3,no=1)_T2'!E16,'60lb(ni=3,no=1)_T1'!E16,'60lb(ni=3,no=1)T3'!E16)</f>
        <v>3.8680124101124576</v>
      </c>
      <c r="J17" s="1">
        <f>AVERAGE('60lb(ni=3,no=1)_T2'!F16,'60lb(ni=3,no=1)_T1'!F16,'60lb(ni=3,no=1)T3'!F16)</f>
        <v>14.699242625329601</v>
      </c>
      <c r="K17" s="2">
        <f>_xlfn.STDEV.P('60lb(ni=3,no=1)_T2'!F16,'60lb(ni=3,no=1)_T1'!F16,'60lb(ni=3,no=1)T3'!F16)</f>
        <v>3.5946220338216084</v>
      </c>
    </row>
    <row r="18" spans="1:11" x14ac:dyDescent="0.25">
      <c r="A18" s="5">
        <f>AVERAGE('60lb(ni=3,no=1)_T2'!A17,'60lb(ni=3,no=1)_T1'!A17,'60lb(ni=3,no=1)T3'!A17)</f>
        <v>305.52504999026866</v>
      </c>
      <c r="B18" s="1">
        <f>AVERAGE('60lb(ni=3,no=1)_T2'!B17,'60lb(ni=3,no=1)_T1'!B17,'60lb(ni=3,no=1)T3'!B17)</f>
        <v>0.71333333333333337</v>
      </c>
      <c r="C18" s="2">
        <f>_xlfn.STDEV.P('60lb(ni=3,no=1)_T2'!B17,'60lb(ni=3,no=1)_T1'!B17,'60lb(ni=3,no=1)T3'!B17)</f>
        <v>0.45565581552551526</v>
      </c>
      <c r="D18" s="1">
        <f>AVERAGE('60lb(ni=3,no=1)_T2'!C17,'60lb(ni=3,no=1)_T1'!C17,'60lb(ni=3,no=1)T3'!C17)</f>
        <v>51.133956220912864</v>
      </c>
      <c r="E18" s="2">
        <f>_xlfn.STDEV.P('60lb(ni=3,no=1)_T2'!C17,'60lb(ni=3,no=1)_T1'!C17,'60lb(ni=3,no=1)T3'!C17)</f>
        <v>7.4006091401365541</v>
      </c>
      <c r="F18" s="1">
        <f>AVERAGE('60lb(ni=3,no=1)_T2'!D17,'60lb(ni=3,no=1)_T1'!D17,'60lb(ni=3,no=1)T3'!D17)</f>
        <v>207.22904921165866</v>
      </c>
      <c r="G18" s="2">
        <f>_xlfn.STDEV.P('60lb(ni=3,no=1)_T2'!D17,'60lb(ni=3,no=1)_T1'!D17,'60lb(ni=3,no=1)T3'!D17)</f>
        <v>14.291116488758066</v>
      </c>
      <c r="H18" s="1">
        <f>AVERAGE('60lb(ni=3,no=1)_T2'!E17,'60lb(ni=3,no=1)_T1'!E17,'60lb(ni=3,no=1)T3'!E17)</f>
        <v>16.503864734299569</v>
      </c>
      <c r="I18" s="2">
        <f>_xlfn.STDEV.P('60lb(ni=3,no=1)_T2'!E17,'60lb(ni=3,no=1)_T1'!E17,'60lb(ni=3,no=1)T3'!E17)</f>
        <v>3.9617738513421017</v>
      </c>
      <c r="J18" s="1">
        <f>AVERAGE('60lb(ni=3,no=1)_T2'!F17,'60lb(ni=3,no=1)_T1'!F17,'60lb(ni=3,no=1)T3'!F17)</f>
        <v>13.220261542000708</v>
      </c>
      <c r="K18" s="2">
        <f>_xlfn.STDEV.P('60lb(ni=3,no=1)_T2'!F17,'60lb(ni=3,no=1)_T1'!F17,'60lb(ni=3,no=1)T3'!F17)</f>
        <v>3.465138800715752</v>
      </c>
    </row>
    <row r="19" spans="1:11" x14ac:dyDescent="0.25">
      <c r="A19" s="5">
        <f>AVERAGE('60lb(ni=3,no=1)_T2'!A18,'60lb(ni=3,no=1)_T1'!A18,'60lb(ni=3,no=1)T3'!A18)</f>
        <v>295.52504999026866</v>
      </c>
      <c r="B19" s="1">
        <f>AVERAGE('60lb(ni=3,no=1)_T2'!B18,'60lb(ni=3,no=1)_T1'!B18,'60lb(ni=3,no=1)T3'!B18)</f>
        <v>0.93333333333333346</v>
      </c>
      <c r="C19" s="2">
        <f>_xlfn.STDEV.P('60lb(ni=3,no=1)_T2'!B18,'60lb(ni=3,no=1)_T1'!B18,'60lb(ni=3,no=1)T3'!B18)</f>
        <v>0.62237894851573783</v>
      </c>
      <c r="D19" s="1">
        <f>AVERAGE('60lb(ni=3,no=1)_T2'!C18,'60lb(ni=3,no=1)_T1'!C18,'60lb(ni=3,no=1)T3'!C18)</f>
        <v>49.343042947390927</v>
      </c>
      <c r="E19" s="2">
        <f>_xlfn.STDEV.P('60lb(ni=3,no=1)_T2'!C18,'60lb(ni=3,no=1)_T1'!C18,'60lb(ni=3,no=1)T3'!C18)</f>
        <v>8.6665466303523679</v>
      </c>
      <c r="F19" s="1">
        <f>AVERAGE('60lb(ni=3,no=1)_T2'!D18,'60lb(ni=3,no=1)_T1'!D18,'60lb(ni=3,no=1)T3'!D18)</f>
        <v>209.92946505990031</v>
      </c>
      <c r="G19" s="2">
        <f>_xlfn.STDEV.P('60lb(ni=3,no=1)_T2'!D18,'60lb(ni=3,no=1)_T1'!D18,'60lb(ni=3,no=1)T3'!D18)</f>
        <v>12.041873172900837</v>
      </c>
      <c r="H19" s="1">
        <f>AVERAGE('60lb(ni=3,no=1)_T2'!E18,'60lb(ni=3,no=1)_T1'!E18,'60lb(ni=3,no=1)T3'!E18)</f>
        <v>14.604629187237949</v>
      </c>
      <c r="I19" s="2">
        <f>_xlfn.STDEV.P('60lb(ni=3,no=1)_T2'!E18,'60lb(ni=3,no=1)_T1'!E18,'60lb(ni=3,no=1)T3'!E18)</f>
        <v>4.1846044470497663</v>
      </c>
      <c r="J19" s="1">
        <f>AVERAGE('60lb(ni=3,no=1)_T2'!F18,'60lb(ni=3,no=1)_T1'!F18,'60lb(ni=3,no=1)T3'!F18)</f>
        <v>11.962644440905343</v>
      </c>
      <c r="K19" s="2">
        <f>_xlfn.STDEV.P('60lb(ni=3,no=1)_T2'!F18,'60lb(ni=3,no=1)_T1'!F18,'60lb(ni=3,no=1)T3'!F18)</f>
        <v>3.1332230079870174</v>
      </c>
    </row>
    <row r="20" spans="1:11" x14ac:dyDescent="0.25">
      <c r="A20" s="5">
        <f>AVERAGE('60lb(ni=3,no=1)_T2'!A19,'60lb(ni=3,no=1)_T1'!A19,'60lb(ni=3,no=1)T3'!A19)</f>
        <v>285.52504999026866</v>
      </c>
      <c r="B20" s="1">
        <f>AVERAGE('60lb(ni=3,no=1)_T2'!B19,'60lb(ni=3,no=1)_T1'!B19,'60lb(ni=3,no=1)T3'!B19)</f>
        <v>1.1033333333333335</v>
      </c>
      <c r="C20" s="2">
        <f>_xlfn.STDEV.P('60lb(ni=3,no=1)_T2'!B19,'60lb(ni=3,no=1)_T1'!B19,'60lb(ni=3,no=1)T3'!B19)</f>
        <v>0.58024898870130626</v>
      </c>
      <c r="D20" s="1">
        <f>AVERAGE('60lb(ni=3,no=1)_T2'!C19,'60lb(ni=3,no=1)_T1'!C19,'60lb(ni=3,no=1)T3'!C19)</f>
        <v>47.937100741448667</v>
      </c>
      <c r="E20" s="2">
        <f>_xlfn.STDEV.P('60lb(ni=3,no=1)_T2'!C19,'60lb(ni=3,no=1)_T1'!C19,'60lb(ni=3,no=1)T3'!C19)</f>
        <v>9.6448470899190024</v>
      </c>
      <c r="F20" s="1">
        <f>AVERAGE('60lb(ni=3,no=1)_T2'!D19,'60lb(ni=3,no=1)_T1'!D19,'60lb(ni=3,no=1)T3'!D19)</f>
        <v>213.78726619596264</v>
      </c>
      <c r="G20" s="2">
        <f>_xlfn.STDEV.P('60lb(ni=3,no=1)_T2'!D19,'60lb(ni=3,no=1)_T1'!D19,'60lb(ni=3,no=1)T3'!D19)</f>
        <v>10.68231873797032</v>
      </c>
      <c r="H20" s="1">
        <f>AVERAGE('60lb(ni=3,no=1)_T2'!E19,'60lb(ni=3,no=1)_T1'!E19,'60lb(ni=3,no=1)T3'!E19)</f>
        <v>13.527474297039573</v>
      </c>
      <c r="I20" s="2">
        <f>_xlfn.STDEV.P('60lb(ni=3,no=1)_T2'!E19,'60lb(ni=3,no=1)_T1'!E19,'60lb(ni=3,no=1)T3'!E19)</f>
        <v>4.1194052761267335</v>
      </c>
      <c r="J20" s="1">
        <f>AVERAGE('60lb(ni=3,no=1)_T2'!F19,'60lb(ni=3,no=1)_T1'!F19,'60lb(ni=3,no=1)T3'!F19)</f>
        <v>10.751547486330145</v>
      </c>
      <c r="K20" s="2">
        <f>_xlfn.STDEV.P('60lb(ni=3,no=1)_T2'!F19,'60lb(ni=3,no=1)_T1'!F19,'60lb(ni=3,no=1)T3'!F19)</f>
        <v>2.9624401420539557</v>
      </c>
    </row>
    <row r="21" spans="1:11" x14ac:dyDescent="0.25">
      <c r="A21" s="5">
        <f>AVERAGE('60lb(ni=3,no=1)_T2'!A20,'60lb(ni=3,no=1)_T1'!A20,'60lb(ni=3,no=1)T3'!A20)</f>
        <v>275.52504999026866</v>
      </c>
      <c r="B21" s="1">
        <f>AVERAGE('60lb(ni=3,no=1)_T2'!B20,'60lb(ni=3,no=1)_T1'!B20,'60lb(ni=3,no=1)T3'!B20)</f>
        <v>1.3399999999999999</v>
      </c>
      <c r="C21" s="2">
        <f>_xlfn.STDEV.P('60lb(ni=3,no=1)_T2'!B20,'60lb(ni=3,no=1)_T1'!B20,'60lb(ni=3,no=1)T3'!B20)</f>
        <v>0.573120115391762</v>
      </c>
      <c r="D21" s="1">
        <f>AVERAGE('60lb(ni=3,no=1)_T2'!C20,'60lb(ni=3,no=1)_T1'!C20,'60lb(ni=3,no=1)T3'!C20)</f>
        <v>44.936663658402892</v>
      </c>
      <c r="E21" s="2">
        <f>_xlfn.STDEV.P('60lb(ni=3,no=1)_T2'!C20,'60lb(ni=3,no=1)_T1'!C20,'60lb(ni=3,no=1)T3'!C20)</f>
        <v>10.28129589353161</v>
      </c>
      <c r="F21" s="1">
        <f>AVERAGE('60lb(ni=3,no=1)_T2'!D20,'60lb(ni=3,no=1)_T1'!D20,'60lb(ni=3,no=1)T3'!D20)</f>
        <v>213.93334395073566</v>
      </c>
      <c r="G21" s="2">
        <f>_xlfn.STDEV.P('60lb(ni=3,no=1)_T2'!D20,'60lb(ni=3,no=1)_T1'!D20,'60lb(ni=3,no=1)T3'!D20)</f>
        <v>12.896877294515001</v>
      </c>
      <c r="H21" s="1">
        <f>AVERAGE('60lb(ni=3,no=1)_T2'!E20,'60lb(ni=3,no=1)_T1'!E20,'60lb(ni=3,no=1)T3'!E20)</f>
        <v>12.107823255649391</v>
      </c>
      <c r="I21" s="2">
        <f>_xlfn.STDEV.P('60lb(ni=3,no=1)_T2'!E20,'60lb(ni=3,no=1)_T1'!E20,'60lb(ni=3,no=1)T3'!E20)</f>
        <v>3.6411840808419078</v>
      </c>
      <c r="J21" s="1">
        <f>AVERAGE('60lb(ni=3,no=1)_T2'!F20,'60lb(ni=3,no=1)_T1'!F20,'60lb(ni=3,no=1)T3'!F20)</f>
        <v>9.4530286138981925</v>
      </c>
      <c r="K21" s="2">
        <f>_xlfn.STDEV.P('60lb(ni=3,no=1)_T2'!F20,'60lb(ni=3,no=1)_T1'!F20,'60lb(ni=3,no=1)T3'!F20)</f>
        <v>2.7892061398409345</v>
      </c>
    </row>
    <row r="22" spans="1:11" x14ac:dyDescent="0.25">
      <c r="A22" s="5">
        <f>AVERAGE('60lb(ni=3,no=1)_T2'!A21,'60lb(ni=3,no=1)_T1'!A21,'60lb(ni=3,no=1)T3'!A21)</f>
        <v>265.52504999026866</v>
      </c>
      <c r="B22" s="1">
        <f>AVERAGE('60lb(ni=3,no=1)_T2'!B21,'60lb(ni=3,no=1)_T1'!B21,'60lb(ni=3,no=1)T3'!B21)</f>
        <v>1.5933333333333335</v>
      </c>
      <c r="C22" s="2">
        <f>_xlfn.STDEV.P('60lb(ni=3,no=1)_T2'!B21,'60lb(ni=3,no=1)_T1'!B21,'60lb(ni=3,no=1)T3'!B21)</f>
        <v>0.50763066188803874</v>
      </c>
      <c r="D22" s="1">
        <f>AVERAGE('60lb(ni=3,no=1)_T2'!C21,'60lb(ni=3,no=1)_T1'!C21,'60lb(ni=3,no=1)T3'!C21)</f>
        <v>40.009483463396634</v>
      </c>
      <c r="E22" s="2">
        <f>_xlfn.STDEV.P('60lb(ni=3,no=1)_T2'!C21,'60lb(ni=3,no=1)_T1'!C21,'60lb(ni=3,no=1)T3'!C21)</f>
        <v>9.8006858854888197</v>
      </c>
      <c r="F22" s="1">
        <f>AVERAGE('60lb(ni=3,no=1)_T2'!D21,'60lb(ni=3,no=1)_T1'!D21,'60lb(ni=3,no=1)T3'!D21)</f>
        <v>219.19394100263733</v>
      </c>
      <c r="G22" s="2">
        <f>_xlfn.STDEV.P('60lb(ni=3,no=1)_T2'!D21,'60lb(ni=3,no=1)_T1'!D21,'60lb(ni=3,no=1)T3'!D21)</f>
        <v>13.214421107226432</v>
      </c>
      <c r="H22" s="1">
        <f>AVERAGE('60lb(ni=3,no=1)_T2'!E21,'60lb(ni=3,no=1)_T1'!E21,'60lb(ni=3,no=1)T3'!E21)</f>
        <v>10.12431208083386</v>
      </c>
      <c r="I22" s="2">
        <f>_xlfn.STDEV.P('60lb(ni=3,no=1)_T2'!E21,'60lb(ni=3,no=1)_T1'!E21,'60lb(ni=3,no=1)T3'!E21)</f>
        <v>2.6898906020025719</v>
      </c>
      <c r="J22" s="1">
        <f>AVERAGE('60lb(ni=3,no=1)_T2'!F21,'60lb(ni=3,no=1)_T1'!F21,'60lb(ni=3,no=1)T3'!F21)</f>
        <v>8.0778301569606139</v>
      </c>
      <c r="K22" s="2">
        <f>_xlfn.STDEV.P('60lb(ni=3,no=1)_T2'!F21,'60lb(ni=3,no=1)_T1'!F21,'60lb(ni=3,no=1)T3'!F21)</f>
        <v>2.5866722718612642</v>
      </c>
    </row>
    <row r="23" spans="1:11" x14ac:dyDescent="0.25">
      <c r="A23" s="5">
        <f>AVERAGE('60lb(ni=3,no=1)_T2'!A22,'60lb(ni=3,no=1)_T1'!A22,'60lb(ni=3,no=1)T3'!A22)</f>
        <v>276.5291208791225</v>
      </c>
      <c r="B23" s="1">
        <f>AVERAGE('60lb(ni=3,no=1)_T2'!B22,'60lb(ni=3,no=1)_T1'!B22,'60lb(ni=3,no=1)T3'!B22)</f>
        <v>1.415</v>
      </c>
      <c r="C23" s="2">
        <f>_xlfn.STDEV.P('60lb(ni=3,no=1)_T2'!B22,'60lb(ni=3,no=1)_T1'!B22,'60lb(ni=3,no=1)T3'!B22)</f>
        <v>0.20500000000000049</v>
      </c>
      <c r="D23" s="1">
        <f>AVERAGE('60lb(ni=3,no=1)_T2'!C22,'60lb(ni=3,no=1)_T1'!C22,'60lb(ni=3,no=1)T3'!C22)</f>
        <v>39.63516483516495</v>
      </c>
      <c r="E23" s="2">
        <f>_xlfn.STDEV.P('60lb(ni=3,no=1)_T2'!C22,'60lb(ni=3,no=1)_T1'!C22,'60lb(ni=3,no=1)T3'!C22)</f>
        <v>6.8384615384615453</v>
      </c>
      <c r="F23" s="1">
        <f>AVERAGE('60lb(ni=3,no=1)_T2'!D22,'60lb(ni=3,no=1)_T1'!D22,'60lb(ni=3,no=1)T3'!D22)</f>
        <v>229.646703296704</v>
      </c>
      <c r="G23" s="2">
        <f>_xlfn.STDEV.P('60lb(ni=3,no=1)_T2'!D22,'60lb(ni=3,no=1)_T1'!D22,'60lb(ni=3,no=1)T3'!D22)</f>
        <v>12.769780219780003</v>
      </c>
      <c r="H23" s="1">
        <f>AVERAGE('60lb(ni=3,no=1)_T2'!E22,'60lb(ni=3,no=1)_T1'!E22,'60lb(ni=3,no=1)T3'!E22)</f>
        <v>9.6994505494505603</v>
      </c>
      <c r="I23" s="2">
        <f>_xlfn.STDEV.P('60lb(ni=3,no=1)_T2'!E22,'60lb(ni=3,no=1)_T1'!E22,'60lb(ni=3,no=1)T3'!E22)</f>
        <v>0.9071428571428406</v>
      </c>
      <c r="J23" s="1">
        <f>AVERAGE('60lb(ni=3,no=1)_T2'!F22,'60lb(ni=3,no=1)_T1'!F22,'60lb(ni=3,no=1)T3'!F22)</f>
        <v>8.7923076923077197</v>
      </c>
      <c r="K23" s="2">
        <f>_xlfn.STDEV.P('60lb(ni=3,no=1)_T2'!F22,'60lb(ni=3,no=1)_T1'!F22,'60lb(ni=3,no=1)T3'!F22)</f>
        <v>0.97692307692307978</v>
      </c>
    </row>
    <row r="24" spans="1:11" x14ac:dyDescent="0.25">
      <c r="A24" s="5">
        <f>AVERAGE('60lb(ni=3,no=1)_T2'!A23,'60lb(ni=3,no=1)_T1'!A23,'60lb(ni=3,no=1)T3'!A23)</f>
        <v>266.5291208791225</v>
      </c>
      <c r="B24" s="1">
        <f>AVERAGE('60lb(ni=3,no=1)_T2'!B23,'60lb(ni=3,no=1)_T1'!B23,'60lb(ni=3,no=1)T3'!B23)</f>
        <v>1.7850000000000001</v>
      </c>
      <c r="C24" s="2">
        <f>_xlfn.STDEV.P('60lb(ni=3,no=1)_T2'!B23,'60lb(ni=3,no=1)_T1'!B23,'60lb(ni=3,no=1)T3'!B23)</f>
        <v>0.21499999999999939</v>
      </c>
      <c r="D24" s="1">
        <f>AVERAGE('60lb(ni=3,no=1)_T2'!C23,'60lb(ni=3,no=1)_T1'!C23,'60lb(ni=3,no=1)T3'!C23)</f>
        <v>33.2153846153847</v>
      </c>
      <c r="E24" s="2">
        <f>_xlfn.STDEV.P('60lb(ni=3,no=1)_T2'!C23,'60lb(ni=3,no=1)_T1'!C23,'60lb(ni=3,no=1)T3'!C23)</f>
        <v>9.0714285714285836</v>
      </c>
      <c r="F24" s="1">
        <f>AVERAGE('60lb(ni=3,no=1)_T2'!D23,'60lb(ni=3,no=1)_T1'!D23,'60lb(ni=3,no=1)T3'!D23)</f>
        <v>232.228571428572</v>
      </c>
      <c r="G24" s="2">
        <f>_xlfn.STDEV.P('60lb(ni=3,no=1)_T2'!D23,'60lb(ni=3,no=1)_T1'!D23,'60lb(ni=3,no=1)T3'!D23)</f>
        <v>15.630769230769005</v>
      </c>
      <c r="H24" s="1">
        <f>AVERAGE('60lb(ni=3,no=1)_T2'!E23,'60lb(ni=3,no=1)_T1'!E23,'60lb(ni=3,no=1)T3'!E23)</f>
        <v>7.3269230769230997</v>
      </c>
      <c r="I24" s="2">
        <f>_xlfn.STDEV.P('60lb(ni=3,no=1)_T2'!E23,'60lb(ni=3,no=1)_T1'!E23,'60lb(ni=3,no=1)T3'!E23)</f>
        <v>0.48846153846153983</v>
      </c>
      <c r="J24" s="1">
        <f>AVERAGE('60lb(ni=3,no=1)_T2'!F23,'60lb(ni=3,no=1)_T1'!F23,'60lb(ni=3,no=1)T3'!F23)</f>
        <v>7.3967032967033202</v>
      </c>
      <c r="K24" s="2">
        <f>_xlfn.STDEV.P('60lb(ni=3,no=1)_T2'!F23,'60lb(ni=3,no=1)_T1'!F23,'60lb(ni=3,no=1)T3'!F23)</f>
        <v>1.1164835164835172</v>
      </c>
    </row>
    <row r="25" spans="1:11" x14ac:dyDescent="0.25">
      <c r="A25" s="5">
        <f>AVERAGE('60lb(ni=3,no=1)_T2'!A24,'60lb(ni=3,no=1)_T1'!A24,'60lb(ni=3,no=1)T3'!A24)</f>
        <v>256.5291208791225</v>
      </c>
      <c r="B25" s="1">
        <f>AVERAGE('60lb(ni=3,no=1)_T2'!B24,'60lb(ni=3,no=1)_T1'!B24,'60lb(ni=3,no=1)T3'!B24)</f>
        <v>2.0699999999999998</v>
      </c>
      <c r="C25" s="2">
        <f>_xlfn.STDEV.P('60lb(ni=3,no=1)_T2'!B24,'60lb(ni=3,no=1)_T1'!B24,'60lb(ni=3,no=1)T3'!B24)</f>
        <v>0.56000000000000005</v>
      </c>
      <c r="D25" s="1">
        <f>AVERAGE('60lb(ni=3,no=1)_T2'!C24,'60lb(ni=3,no=1)_T1'!C24,'60lb(ni=3,no=1)T3'!C24)</f>
        <v>30.145054945055051</v>
      </c>
      <c r="E25" s="2">
        <f>_xlfn.STDEV.P('60lb(ni=3,no=1)_T2'!C24,'60lb(ni=3,no=1)_T1'!C24,'60lb(ni=3,no=1)T3'!C24)</f>
        <v>8.7923076923077534</v>
      </c>
      <c r="F25" s="1">
        <f>AVERAGE('60lb(ni=3,no=1)_T2'!D24,'60lb(ni=3,no=1)_T1'!D24,'60lb(ni=3,no=1)T3'!D24)</f>
        <v>232.019230769231</v>
      </c>
      <c r="G25" s="2">
        <f>_xlfn.STDEV.P('60lb(ni=3,no=1)_T2'!D24,'60lb(ni=3,no=1)_T1'!D24,'60lb(ni=3,no=1)T3'!D24)</f>
        <v>16.817032967033001</v>
      </c>
      <c r="H25" s="1">
        <f>AVERAGE('60lb(ni=3,no=1)_T2'!E24,'60lb(ni=3,no=1)_T1'!E24,'60lb(ni=3,no=1)T3'!E24)</f>
        <v>6.9780219780219994</v>
      </c>
      <c r="I25" s="2">
        <f>_xlfn.STDEV.P('60lb(ni=3,no=1)_T2'!E24,'60lb(ni=3,no=1)_T1'!E24,'60lb(ni=3,no=1)T3'!E24)</f>
        <v>0.69780219780220021</v>
      </c>
      <c r="J25" s="1">
        <f>AVERAGE('60lb(ni=3,no=1)_T2'!F24,'60lb(ni=3,no=1)_T1'!F24,'60lb(ni=3,no=1)T3'!F24)</f>
        <v>6.2243956043956246</v>
      </c>
      <c r="K25" s="2">
        <f>_xlfn.STDEV.P('60lb(ni=3,no=1)_T2'!F24,'60lb(ni=3,no=1)_T1'!F24,'60lb(ni=3,no=1)T3'!F24)</f>
        <v>1.032747252747259</v>
      </c>
    </row>
    <row r="26" spans="1:11" x14ac:dyDescent="0.25">
      <c r="A26" s="5">
        <f>AVERAGE('60lb(ni=3,no=1)_T2'!A25,'60lb(ni=3,no=1)_T1'!A25,'60lb(ni=3,no=1)T3'!A25)</f>
        <v>246.5291208791225</v>
      </c>
      <c r="B26" s="1">
        <f>AVERAGE('60lb(ni=3,no=1)_T2'!B25,'60lb(ni=3,no=1)_T1'!B25,'60lb(ni=3,no=1)T3'!B25)</f>
        <v>2.5</v>
      </c>
      <c r="C26" s="2">
        <f>_xlfn.STDEV.P('60lb(ni=3,no=1)_T2'!B25,'60lb(ni=3,no=1)_T1'!B25,'60lb(ni=3,no=1)T3'!B25)</f>
        <v>0.43000000000000083</v>
      </c>
      <c r="D26" s="1">
        <f>AVERAGE('60lb(ni=3,no=1)_T2'!C25,'60lb(ni=3,no=1)_T1'!C25,'60lb(ni=3,no=1)T3'!C25)</f>
        <v>24.632417582417652</v>
      </c>
      <c r="E26" s="2">
        <f>_xlfn.STDEV.P('60lb(ni=3,no=1)_T2'!C25,'60lb(ni=3,no=1)_T1'!C25,'60lb(ni=3,no=1)T3'!C25)</f>
        <v>8.8620879120879508</v>
      </c>
      <c r="F26" s="1">
        <f>AVERAGE('60lb(ni=3,no=1)_T2'!D25,'60lb(ni=3,no=1)_T1'!D25,'60lb(ni=3,no=1)T3'!D25)</f>
        <v>234.8802197802205</v>
      </c>
      <c r="G26" s="2">
        <f>_xlfn.STDEV.P('60lb(ni=3,no=1)_T2'!D25,'60lb(ni=3,no=1)_T1'!D25,'60lb(ni=3,no=1)T3'!D25)</f>
        <v>19.53846153846149</v>
      </c>
      <c r="H26" s="1">
        <f>AVERAGE('60lb(ni=3,no=1)_T2'!E25,'60lb(ni=3,no=1)_T1'!E25,'60lb(ni=3,no=1)T3'!E25)</f>
        <v>6.5593406593406804</v>
      </c>
      <c r="I26" s="2">
        <f>_xlfn.STDEV.P('60lb(ni=3,no=1)_T2'!E25,'60lb(ni=3,no=1)_T1'!E25,'60lb(ni=3,no=1)T3'!E25)</f>
        <v>0.4186813186813203</v>
      </c>
      <c r="J26" s="1">
        <f>AVERAGE('60lb(ni=3,no=1)_T2'!F25,'60lb(ni=3,no=1)_T1'!F25,'60lb(ni=3,no=1)T3'!F25)</f>
        <v>5.2335164835164996</v>
      </c>
      <c r="K26" s="2">
        <f>_xlfn.STDEV.P('60lb(ni=3,no=1)_T2'!F25,'60lb(ni=3,no=1)_T1'!F25,'60lb(ni=3,no=1)T3'!F25)</f>
        <v>1.1862637362637409</v>
      </c>
    </row>
    <row r="27" spans="1:11" x14ac:dyDescent="0.25">
      <c r="A27" s="5">
        <f>AVERAGE('60lb(ni=3,no=1)_T2'!A26,'60lb(ni=3,no=1)_T1'!A26,'60lb(ni=3,no=1)T3'!A26)</f>
        <v>236.5291208791225</v>
      </c>
      <c r="B27" s="1">
        <f>AVERAGE('60lb(ni=3,no=1)_T2'!B26,'60lb(ni=3,no=1)_T1'!B26,'60lb(ni=3,no=1)T3'!B26)</f>
        <v>3.2149999999999999</v>
      </c>
      <c r="C27" s="2">
        <f>_xlfn.STDEV.P('60lb(ni=3,no=1)_T2'!B26,'60lb(ni=3,no=1)_T1'!B26,'60lb(ni=3,no=1)T3'!B26)</f>
        <v>0.375</v>
      </c>
      <c r="D27" s="1">
        <f>AVERAGE('60lb(ni=3,no=1)_T2'!C26,'60lb(ni=3,no=1)_T1'!C26,'60lb(ni=3,no=1)T3'!C26)</f>
        <v>20.375824175824249</v>
      </c>
      <c r="E27" s="2">
        <f>_xlfn.STDEV.P('60lb(ni=3,no=1)_T2'!C26,'60lb(ni=3,no=1)_T1'!C26,'60lb(ni=3,no=1)T3'!C26)</f>
        <v>10.187912087912149</v>
      </c>
      <c r="F27" s="1">
        <f>AVERAGE('60lb(ni=3,no=1)_T2'!D26,'60lb(ni=3,no=1)_T1'!D26,'60lb(ni=3,no=1)T3'!D26)</f>
        <v>238.43901098901151</v>
      </c>
      <c r="G27" s="2">
        <f>_xlfn.STDEV.P('60lb(ni=3,no=1)_T2'!D26,'60lb(ni=3,no=1)_T1'!D26,'60lb(ni=3,no=1)T3'!D26)</f>
        <v>22.399450549450506</v>
      </c>
      <c r="H27" s="1">
        <f>AVERAGE('60lb(ni=3,no=1)_T2'!E26,'60lb(ni=3,no=1)_T1'!E26,'60lb(ni=3,no=1)T3'!E26)</f>
        <v>6.1406593406593597</v>
      </c>
      <c r="I27" s="2">
        <f>_xlfn.STDEV.P('60lb(ni=3,no=1)_T2'!E26,'60lb(ni=3,no=1)_T1'!E26,'60lb(ni=3,no=1)T3'!E26)</f>
        <v>0.41868131868131986</v>
      </c>
      <c r="J27" s="1">
        <f>AVERAGE('60lb(ni=3,no=1)_T2'!F26,'60lb(ni=3,no=1)_T1'!F26,'60lb(ni=3,no=1)T3'!F26)</f>
        <v>4.3263736263736394</v>
      </c>
      <c r="K27" s="2">
        <f>_xlfn.STDEV.P('60lb(ni=3,no=1)_T2'!F26,'60lb(ni=3,no=1)_T1'!F26,'60lb(ni=3,no=1)T3'!F26)</f>
        <v>1.3956043956044026</v>
      </c>
    </row>
    <row r="28" spans="1:11" ht="15.75" thickBot="1" x14ac:dyDescent="0.3">
      <c r="A28" s="6">
        <f>AVERAGE('60lb(ni=3,no=1)_T2'!A27,'60lb(ni=3,no=1)_T1'!A27,'60lb(ni=3,no=1)T3'!A27)</f>
        <v>226.5291208791225</v>
      </c>
      <c r="B28" s="3">
        <f>AVERAGE('60lb(ni=3,no=1)_T2'!B27,'60lb(ni=3,no=1)_T1'!B27,'60lb(ni=3,no=1)T3'!B27)</f>
        <v>3.7700000000000005</v>
      </c>
      <c r="C28" s="4">
        <f>_xlfn.STDEV.P('60lb(ni=3,no=1)_T2'!B27,'60lb(ni=3,no=1)_T1'!B27,'60lb(ni=3,no=1)T3'!B27)</f>
        <v>0.87999999999999901</v>
      </c>
      <c r="D28" s="3">
        <f>AVERAGE('60lb(ni=3,no=1)_T2'!C27,'60lb(ni=3,no=1)_T1'!C27,'60lb(ni=3,no=1)T3'!C27)</f>
        <v>16.747252747252791</v>
      </c>
      <c r="E28" s="4">
        <f>_xlfn.STDEV.P('60lb(ni=3,no=1)_T2'!C27,'60lb(ni=3,no=1)_T1'!C27,'60lb(ni=3,no=1)T3'!C27)</f>
        <v>9.4901098901099061</v>
      </c>
      <c r="F28" s="3">
        <f>AVERAGE('60lb(ni=3,no=1)_T2'!D27,'60lb(ni=3,no=1)_T1'!D27,'60lb(ni=3,no=1)T3'!D27)</f>
        <v>238.15989010989099</v>
      </c>
      <c r="G28" s="4">
        <f>_xlfn.STDEV.P('60lb(ni=3,no=1)_T2'!D27,'60lb(ni=3,no=1)_T1'!D27,'60lb(ni=3,no=1)T3'!D27)</f>
        <v>20.585164835164989</v>
      </c>
      <c r="H28" s="3">
        <f>AVERAGE('60lb(ni=3,no=1)_T2'!E27,'60lb(ni=3,no=1)_T1'!E27,'60lb(ni=3,no=1)T3'!E27)</f>
        <v>5.3730769230769404</v>
      </c>
      <c r="I28" s="4">
        <f>_xlfn.STDEV.P('60lb(ni=3,no=1)_T2'!E27,'60lb(ni=3,no=1)_T1'!E27,'60lb(ni=3,no=1)T3'!E27)</f>
        <v>6.9780219780219976E-2</v>
      </c>
      <c r="J28" s="3">
        <f>AVERAGE('60lb(ni=3,no=1)_T2'!F27,'60lb(ni=3,no=1)_T1'!F27,'60lb(ni=3,no=1)T3'!F27)</f>
        <v>3.2796703296703402</v>
      </c>
      <c r="K28" s="4">
        <f>_xlfn.STDEV.P('60lb(ni=3,no=1)_T2'!F27,'60lb(ni=3,no=1)_T1'!F27,'60lb(ni=3,no=1)T3'!F27)</f>
        <v>1.4653846153846202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21"/>
  <sheetViews>
    <sheetView workbookViewId="0">
      <selection activeCell="J29" sqref="J29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413.51690821256102</v>
      </c>
      <c r="B2">
        <v>0</v>
      </c>
      <c r="C2">
        <v>57.5487922705315</v>
      </c>
      <c r="D2">
        <v>175.95942028985499</v>
      </c>
      <c r="E2">
        <v>35.093719806763303</v>
      </c>
      <c r="F2">
        <v>61.598067632850302</v>
      </c>
    </row>
    <row r="3" spans="1:6" x14ac:dyDescent="0.25">
      <c r="A3">
        <v>403.51690821256102</v>
      </c>
      <c r="B3">
        <v>0.08</v>
      </c>
      <c r="C3">
        <v>57.3033816425122</v>
      </c>
      <c r="D3">
        <v>177.186473429952</v>
      </c>
      <c r="E3">
        <v>32.885024154589402</v>
      </c>
      <c r="F3">
        <v>53.008695652173998</v>
      </c>
    </row>
    <row r="4" spans="1:6" x14ac:dyDescent="0.25">
      <c r="A4">
        <v>393.51690821256102</v>
      </c>
      <c r="B4">
        <v>0.1</v>
      </c>
      <c r="C4">
        <v>57.0579710144928</v>
      </c>
      <c r="D4">
        <v>176.81835748792301</v>
      </c>
      <c r="E4">
        <v>32.271497584541102</v>
      </c>
      <c r="F4">
        <v>43.928502415459</v>
      </c>
    </row>
    <row r="5" spans="1:6" x14ac:dyDescent="0.25">
      <c r="A5">
        <v>383.51690821256102</v>
      </c>
      <c r="B5">
        <v>0.11</v>
      </c>
      <c r="C5">
        <v>56.8125603864735</v>
      </c>
      <c r="D5">
        <v>177.30917874396201</v>
      </c>
      <c r="E5">
        <v>30.799033816425201</v>
      </c>
      <c r="F5">
        <v>39.388405797101498</v>
      </c>
    </row>
    <row r="6" spans="1:6" x14ac:dyDescent="0.25">
      <c r="A6">
        <v>373.51690821256102</v>
      </c>
      <c r="B6">
        <v>0.12</v>
      </c>
      <c r="C6">
        <v>56.5671497584542</v>
      </c>
      <c r="D6">
        <v>178.90434782608699</v>
      </c>
      <c r="E6">
        <v>30.430917874396201</v>
      </c>
      <c r="F6">
        <v>33.498550724637703</v>
      </c>
    </row>
    <row r="7" spans="1:6" x14ac:dyDescent="0.25">
      <c r="A7">
        <v>363.51690821256102</v>
      </c>
      <c r="B7">
        <v>0.16</v>
      </c>
      <c r="C7">
        <v>56.199033816425199</v>
      </c>
      <c r="D7">
        <v>178.658937198068</v>
      </c>
      <c r="E7">
        <v>27.117874396135299</v>
      </c>
      <c r="F7">
        <v>29.2038647342996</v>
      </c>
    </row>
    <row r="8" spans="1:6" x14ac:dyDescent="0.25">
      <c r="A8">
        <v>353.51690821256102</v>
      </c>
      <c r="B8">
        <v>0.17</v>
      </c>
      <c r="C8">
        <v>55.953623188405899</v>
      </c>
      <c r="D8">
        <v>180.62222222222201</v>
      </c>
      <c r="E8">
        <v>25.890821256038699</v>
      </c>
      <c r="F8">
        <v>24.172946859903401</v>
      </c>
    </row>
    <row r="9" spans="1:6" x14ac:dyDescent="0.25">
      <c r="A9">
        <v>343.51690821256102</v>
      </c>
      <c r="B9">
        <v>0.2</v>
      </c>
      <c r="C9">
        <v>55.708212560386499</v>
      </c>
      <c r="D9">
        <v>179.640579710145</v>
      </c>
      <c r="E9">
        <v>24.418357487922702</v>
      </c>
      <c r="F9">
        <v>22.823188405797101</v>
      </c>
    </row>
    <row r="10" spans="1:6" x14ac:dyDescent="0.25">
      <c r="A10">
        <v>333.51690821256102</v>
      </c>
      <c r="B10">
        <v>0.26</v>
      </c>
      <c r="C10">
        <v>55.585507246376899</v>
      </c>
      <c r="D10">
        <v>180.990338164251</v>
      </c>
      <c r="E10">
        <v>21.3507246376812</v>
      </c>
      <c r="F10">
        <v>20.123671497584599</v>
      </c>
    </row>
    <row r="11" spans="1:6" x14ac:dyDescent="0.25">
      <c r="A11">
        <v>323.51690821256102</v>
      </c>
      <c r="B11">
        <v>0.34</v>
      </c>
      <c r="C11">
        <v>55.217391304347899</v>
      </c>
      <c r="D11">
        <v>180.25410628019301</v>
      </c>
      <c r="E11">
        <v>20.000966183574899</v>
      </c>
      <c r="F11">
        <v>17.914975845410702</v>
      </c>
    </row>
    <row r="12" spans="1:6" x14ac:dyDescent="0.25">
      <c r="A12">
        <v>313.51690821256102</v>
      </c>
      <c r="B12">
        <v>0.47</v>
      </c>
      <c r="C12">
        <v>53.499516908212598</v>
      </c>
      <c r="D12">
        <v>181.6038647343</v>
      </c>
      <c r="E12">
        <v>16.687922705314001</v>
      </c>
      <c r="F12">
        <v>15.828985507246401</v>
      </c>
    </row>
    <row r="13" spans="1:6" x14ac:dyDescent="0.25">
      <c r="A13">
        <v>303.51690821256102</v>
      </c>
      <c r="B13">
        <v>0.56000000000000005</v>
      </c>
      <c r="C13">
        <v>53.254106280193298</v>
      </c>
      <c r="D13">
        <v>184.426086956522</v>
      </c>
      <c r="E13">
        <v>17.056038647343001</v>
      </c>
      <c r="F13">
        <v>14.4792270531401</v>
      </c>
    </row>
    <row r="14" spans="1:6" x14ac:dyDescent="0.25">
      <c r="A14">
        <v>293.51690821256102</v>
      </c>
      <c r="B14">
        <v>0.62</v>
      </c>
      <c r="C14">
        <v>52.272463768115998</v>
      </c>
      <c r="D14">
        <v>185.03961352657001</v>
      </c>
      <c r="E14">
        <v>15.706280193236701</v>
      </c>
      <c r="F14">
        <v>13.1294685990338</v>
      </c>
    </row>
    <row r="15" spans="1:6" x14ac:dyDescent="0.25">
      <c r="A15">
        <v>283.51690821256102</v>
      </c>
      <c r="B15">
        <v>0.77</v>
      </c>
      <c r="C15">
        <v>49.204830917874503</v>
      </c>
      <c r="D15">
        <v>187.61642512077299</v>
      </c>
      <c r="E15">
        <v>14.1111111111111</v>
      </c>
      <c r="F15">
        <v>11.534299516908201</v>
      </c>
    </row>
    <row r="16" spans="1:6" x14ac:dyDescent="0.25">
      <c r="A16">
        <v>273.51690821256102</v>
      </c>
      <c r="B16">
        <v>0.98</v>
      </c>
      <c r="C16">
        <v>45.032850241546001</v>
      </c>
      <c r="D16">
        <v>191.788405797102</v>
      </c>
      <c r="E16">
        <v>12.761352657004799</v>
      </c>
      <c r="F16">
        <v>10.1845410628019</v>
      </c>
    </row>
    <row r="17" spans="1:6" x14ac:dyDescent="0.25">
      <c r="A17">
        <v>263.51690821256102</v>
      </c>
      <c r="B17">
        <v>1.34</v>
      </c>
      <c r="C17">
        <v>41.474396135265799</v>
      </c>
      <c r="D17">
        <v>195.46956521739199</v>
      </c>
      <c r="E17">
        <v>11.4115942028986</v>
      </c>
      <c r="F17">
        <v>8.9574879227053295</v>
      </c>
    </row>
    <row r="18" spans="1:6" x14ac:dyDescent="0.25">
      <c r="A18">
        <v>253.51690821256099</v>
      </c>
      <c r="B18">
        <v>1.79</v>
      </c>
      <c r="C18">
        <v>37.915942028985597</v>
      </c>
      <c r="D18">
        <v>200.500483091788</v>
      </c>
      <c r="E18">
        <v>9.2028985507246492</v>
      </c>
      <c r="F18">
        <v>7.9758454106280299</v>
      </c>
    </row>
    <row r="19" spans="1:6" x14ac:dyDescent="0.25">
      <c r="A19">
        <v>243.51690821256099</v>
      </c>
      <c r="B19">
        <v>1.86</v>
      </c>
      <c r="C19">
        <v>35.093719806763303</v>
      </c>
      <c r="D19">
        <v>205.65410628019399</v>
      </c>
      <c r="E19">
        <v>8.3439613526570202</v>
      </c>
      <c r="F19">
        <v>6.9942028985507303</v>
      </c>
    </row>
    <row r="20" spans="1:6" x14ac:dyDescent="0.25">
      <c r="A20">
        <v>233.51690821256099</v>
      </c>
      <c r="B20">
        <v>2.0099999999999998</v>
      </c>
      <c r="C20">
        <v>31.535265700483102</v>
      </c>
      <c r="D20">
        <v>202.463768115942</v>
      </c>
      <c r="E20">
        <v>7.85314009661837</v>
      </c>
      <c r="F20">
        <v>5.8898550724637797</v>
      </c>
    </row>
    <row r="21" spans="1:6" x14ac:dyDescent="0.25">
      <c r="A21">
        <v>223.51690821256099</v>
      </c>
      <c r="B21">
        <v>2.02</v>
      </c>
      <c r="C21">
        <v>28.197681159420299</v>
      </c>
      <c r="D21">
        <v>208.47632850241601</v>
      </c>
      <c r="E21">
        <v>7.4850241545893796</v>
      </c>
      <c r="F21">
        <v>4.8345893719806803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27"/>
  <sheetViews>
    <sheetView workbookViewId="0">
      <selection activeCell="I19" sqref="I19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451.757142857144</v>
      </c>
      <c r="B2">
        <v>0</v>
      </c>
      <c r="C2">
        <v>59.592307692307898</v>
      </c>
      <c r="D2">
        <v>188.546153846154</v>
      </c>
      <c r="E2">
        <v>35.308791208791298</v>
      </c>
      <c r="F2">
        <v>118.765934065934</v>
      </c>
    </row>
    <row r="3" spans="1:6" x14ac:dyDescent="0.25">
      <c r="A3">
        <v>441.757142857144</v>
      </c>
      <c r="B3">
        <v>0.02</v>
      </c>
      <c r="C3">
        <v>59.313186813187002</v>
      </c>
      <c r="D3">
        <v>189.10439560439599</v>
      </c>
      <c r="E3">
        <v>32.936263736263797</v>
      </c>
      <c r="F3">
        <v>94.482417582417895</v>
      </c>
    </row>
    <row r="4" spans="1:6" x14ac:dyDescent="0.25">
      <c r="A4">
        <v>431.757142857144</v>
      </c>
      <c r="B4">
        <v>0.03</v>
      </c>
      <c r="C4">
        <v>58.894505494505701</v>
      </c>
      <c r="D4">
        <v>188.546153846154</v>
      </c>
      <c r="E4">
        <v>32.796703296703399</v>
      </c>
      <c r="F4">
        <v>67.965934065934306</v>
      </c>
    </row>
    <row r="5" spans="1:6" x14ac:dyDescent="0.25">
      <c r="A5">
        <v>421.757142857144</v>
      </c>
      <c r="B5">
        <v>0.03</v>
      </c>
      <c r="C5">
        <v>57.359340659340802</v>
      </c>
      <c r="D5">
        <v>189.38351648351701</v>
      </c>
      <c r="E5">
        <v>30.7032967032968</v>
      </c>
      <c r="F5">
        <v>62.104395604395798</v>
      </c>
    </row>
    <row r="6" spans="1:6" x14ac:dyDescent="0.25">
      <c r="A6">
        <v>411.757142857144</v>
      </c>
      <c r="B6">
        <v>0.05</v>
      </c>
      <c r="C6">
        <v>57.219780219780397</v>
      </c>
      <c r="D6">
        <v>190.081318681319</v>
      </c>
      <c r="E6">
        <v>30.145054945055001</v>
      </c>
      <c r="F6">
        <v>58.615384615384798</v>
      </c>
    </row>
    <row r="7" spans="1:6" x14ac:dyDescent="0.25">
      <c r="A7">
        <v>401.757142857144</v>
      </c>
      <c r="B7">
        <v>0.06</v>
      </c>
      <c r="C7">
        <v>57.080219780219998</v>
      </c>
      <c r="D7">
        <v>190.50000000000099</v>
      </c>
      <c r="E7">
        <v>29.307692307692399</v>
      </c>
      <c r="F7">
        <v>47.310989010989204</v>
      </c>
    </row>
    <row r="8" spans="1:6" x14ac:dyDescent="0.25">
      <c r="A8">
        <v>391.757142857144</v>
      </c>
      <c r="B8">
        <v>7.0000000000000007E-2</v>
      </c>
      <c r="C8">
        <v>56.940659340659501</v>
      </c>
      <c r="D8">
        <v>190.639560439561</v>
      </c>
      <c r="E8">
        <v>29.0285714285715</v>
      </c>
      <c r="F8">
        <v>41.170329670329799</v>
      </c>
    </row>
    <row r="9" spans="1:6" x14ac:dyDescent="0.25">
      <c r="A9">
        <v>381.757142857144</v>
      </c>
      <c r="B9">
        <v>0.1</v>
      </c>
      <c r="C9">
        <v>56.382417582417801</v>
      </c>
      <c r="D9">
        <v>192.314285714286</v>
      </c>
      <c r="E9">
        <v>28.889010989011101</v>
      </c>
      <c r="F9">
        <v>36.564835164835301</v>
      </c>
    </row>
    <row r="10" spans="1:6" x14ac:dyDescent="0.25">
      <c r="A10">
        <v>371.757142857144</v>
      </c>
      <c r="B10">
        <v>0.11</v>
      </c>
      <c r="C10">
        <v>56.242857142857297</v>
      </c>
      <c r="D10">
        <v>192.174725274726</v>
      </c>
      <c r="E10">
        <v>26.5164835164836</v>
      </c>
      <c r="F10">
        <v>31.540659340659399</v>
      </c>
    </row>
    <row r="11" spans="1:6" x14ac:dyDescent="0.25">
      <c r="A11">
        <v>361.757142857144</v>
      </c>
      <c r="B11">
        <v>0.14000000000000001</v>
      </c>
      <c r="C11">
        <v>55.684615384615597</v>
      </c>
      <c r="D11">
        <v>193.84945054945101</v>
      </c>
      <c r="E11">
        <v>25.120879120879199</v>
      </c>
      <c r="F11">
        <v>27.4934065934067</v>
      </c>
    </row>
    <row r="12" spans="1:6" x14ac:dyDescent="0.25">
      <c r="A12">
        <v>351.757142857144</v>
      </c>
      <c r="B12">
        <v>0.16</v>
      </c>
      <c r="C12">
        <v>55.545054945055099</v>
      </c>
      <c r="D12">
        <v>193.15164835164899</v>
      </c>
      <c r="E12">
        <v>23.167032967032998</v>
      </c>
      <c r="F12">
        <v>23.585714285714399</v>
      </c>
    </row>
    <row r="13" spans="1:6" x14ac:dyDescent="0.25">
      <c r="A13">
        <v>341.757142857144</v>
      </c>
      <c r="B13">
        <v>0.22</v>
      </c>
      <c r="C13">
        <v>55.126373626373798</v>
      </c>
      <c r="D13">
        <v>193.84945054945101</v>
      </c>
      <c r="E13">
        <v>21.771428571428601</v>
      </c>
      <c r="F13">
        <v>21.771428571428601</v>
      </c>
    </row>
    <row r="14" spans="1:6" x14ac:dyDescent="0.25">
      <c r="A14">
        <v>331.757142857144</v>
      </c>
      <c r="B14">
        <v>0.28000000000000003</v>
      </c>
      <c r="C14">
        <v>54.9868131868134</v>
      </c>
      <c r="D14">
        <v>194.407692307693</v>
      </c>
      <c r="E14">
        <v>20.934065934065998</v>
      </c>
      <c r="F14">
        <v>19.957142857142902</v>
      </c>
    </row>
    <row r="15" spans="1:6" x14ac:dyDescent="0.25">
      <c r="A15">
        <v>321.757142857144</v>
      </c>
      <c r="B15">
        <v>0.35</v>
      </c>
      <c r="C15">
        <v>54.568131868131999</v>
      </c>
      <c r="D15">
        <v>196.91978021978099</v>
      </c>
      <c r="E15">
        <v>19.8175824175825</v>
      </c>
      <c r="F15">
        <v>16.747252747252801</v>
      </c>
    </row>
    <row r="16" spans="1:6" x14ac:dyDescent="0.25">
      <c r="A16">
        <v>311.757142857144</v>
      </c>
      <c r="B16">
        <v>0.41</v>
      </c>
      <c r="C16">
        <v>54.149450549450698</v>
      </c>
      <c r="D16">
        <v>197.33846153846201</v>
      </c>
      <c r="E16">
        <v>18.282417582417601</v>
      </c>
      <c r="F16">
        <v>14.932967032967101</v>
      </c>
    </row>
    <row r="17" spans="1:6" x14ac:dyDescent="0.25">
      <c r="A17">
        <v>301.757142857144</v>
      </c>
      <c r="B17">
        <v>0.53</v>
      </c>
      <c r="C17">
        <v>52.474725274725401</v>
      </c>
      <c r="D17">
        <v>198.87362637362699</v>
      </c>
      <c r="E17">
        <v>17.026373626373701</v>
      </c>
      <c r="F17">
        <v>13.2582417582418</v>
      </c>
    </row>
    <row r="18" spans="1:6" x14ac:dyDescent="0.25">
      <c r="A18">
        <v>291.757142857144</v>
      </c>
      <c r="B18">
        <v>0.68</v>
      </c>
      <c r="C18">
        <v>51.218681318681497</v>
      </c>
      <c r="D18">
        <v>202.362637362638</v>
      </c>
      <c r="E18">
        <v>15.212087912088</v>
      </c>
      <c r="F18">
        <v>12.2813186813187</v>
      </c>
    </row>
    <row r="19" spans="1:6" x14ac:dyDescent="0.25">
      <c r="A19">
        <v>281.757142857144</v>
      </c>
      <c r="B19">
        <v>1</v>
      </c>
      <c r="C19">
        <v>50.381318681318803</v>
      </c>
      <c r="D19">
        <v>206.82857142857199</v>
      </c>
      <c r="E19">
        <v>13.816483516483601</v>
      </c>
      <c r="F19">
        <v>11.0252747252748</v>
      </c>
    </row>
    <row r="20" spans="1:6" x14ac:dyDescent="0.25">
      <c r="A20">
        <v>271.757142857144</v>
      </c>
      <c r="B20">
        <v>1.4</v>
      </c>
      <c r="C20">
        <v>46.752747252747398</v>
      </c>
      <c r="D20">
        <v>207.38681318681401</v>
      </c>
      <c r="E20">
        <v>11.723076923077</v>
      </c>
      <c r="F20">
        <v>9.7692307692308002</v>
      </c>
    </row>
    <row r="21" spans="1:6" x14ac:dyDescent="0.25">
      <c r="A21">
        <v>261.757142857144</v>
      </c>
      <c r="B21">
        <v>1.88</v>
      </c>
      <c r="C21">
        <v>39.635164835165</v>
      </c>
      <c r="D21">
        <v>211.29450549450601</v>
      </c>
      <c r="E21">
        <v>9.0714285714285996</v>
      </c>
      <c r="F21">
        <v>8.2340659340659599</v>
      </c>
    </row>
    <row r="22" spans="1:6" x14ac:dyDescent="0.25">
      <c r="A22">
        <v>251.757142857144</v>
      </c>
      <c r="B22">
        <v>1.62</v>
      </c>
      <c r="C22">
        <v>32.796703296703399</v>
      </c>
      <c r="D22">
        <v>216.87692307692399</v>
      </c>
      <c r="E22">
        <v>8.7923076923077197</v>
      </c>
      <c r="F22">
        <v>7.81538461538464</v>
      </c>
    </row>
    <row r="23" spans="1:6" x14ac:dyDescent="0.25">
      <c r="A23">
        <v>241.757142857144</v>
      </c>
      <c r="B23">
        <v>2</v>
      </c>
      <c r="C23">
        <v>24.143956043956099</v>
      </c>
      <c r="D23">
        <v>216.59780219780299</v>
      </c>
      <c r="E23">
        <v>7.81538461538464</v>
      </c>
      <c r="F23">
        <v>6.2802197802197997</v>
      </c>
    </row>
    <row r="24" spans="1:6" x14ac:dyDescent="0.25">
      <c r="A24">
        <v>231.757142857144</v>
      </c>
      <c r="B24">
        <v>2.63</v>
      </c>
      <c r="C24">
        <v>21.352747252747299</v>
      </c>
      <c r="D24">
        <v>215.20219780219799</v>
      </c>
      <c r="E24">
        <v>7.6758241758242001</v>
      </c>
      <c r="F24">
        <v>5.1916483516483698</v>
      </c>
    </row>
    <row r="25" spans="1:6" x14ac:dyDescent="0.25">
      <c r="A25">
        <v>221.757142857144</v>
      </c>
      <c r="B25">
        <v>2.93</v>
      </c>
      <c r="C25">
        <v>15.7703296703297</v>
      </c>
      <c r="D25">
        <v>215.34175824175901</v>
      </c>
      <c r="E25">
        <v>6.9780219780220003</v>
      </c>
      <c r="F25">
        <v>4.0472527472527604</v>
      </c>
    </row>
    <row r="26" spans="1:6" x14ac:dyDescent="0.25">
      <c r="A26">
        <v>211.757142857144</v>
      </c>
      <c r="B26">
        <v>3.59</v>
      </c>
      <c r="C26">
        <v>10.1879120879121</v>
      </c>
      <c r="D26">
        <v>216.039560439561</v>
      </c>
      <c r="E26">
        <v>6.5593406593406796</v>
      </c>
      <c r="F26">
        <v>2.9307692307692399</v>
      </c>
    </row>
    <row r="27" spans="1:6" x14ac:dyDescent="0.25">
      <c r="A27">
        <v>201.757142857144</v>
      </c>
      <c r="B27">
        <v>4.6500000000000004</v>
      </c>
      <c r="C27">
        <v>7.2571428571428802</v>
      </c>
      <c r="D27">
        <v>217.57472527472601</v>
      </c>
      <c r="E27">
        <v>5.4428571428571599</v>
      </c>
      <c r="F27">
        <v>1.8142857142857201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27"/>
  <sheetViews>
    <sheetView workbookViewId="0">
      <selection activeCell="A2" sqref="A2:F27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501.301098901101</v>
      </c>
      <c r="B2">
        <v>0</v>
      </c>
      <c r="C2">
        <v>65.872527472527693</v>
      </c>
      <c r="D2">
        <v>208.084615384616</v>
      </c>
      <c r="E2">
        <v>36.006593406593502</v>
      </c>
      <c r="F2">
        <v>108.159340659341</v>
      </c>
    </row>
    <row r="3" spans="1:6" x14ac:dyDescent="0.25">
      <c r="A3">
        <v>491.301098901101</v>
      </c>
      <c r="B3">
        <v>0.04</v>
      </c>
      <c r="C3">
        <v>65.593406593406797</v>
      </c>
      <c r="D3">
        <v>208.224175824176</v>
      </c>
      <c r="E3">
        <v>35.448351648351803</v>
      </c>
      <c r="F3">
        <v>90.435164835165097</v>
      </c>
    </row>
    <row r="4" spans="1:6" x14ac:dyDescent="0.25">
      <c r="A4">
        <v>481.301098901101</v>
      </c>
      <c r="B4">
        <v>0.05</v>
      </c>
      <c r="C4">
        <v>65.035164835165006</v>
      </c>
      <c r="D4">
        <v>208.92197802197899</v>
      </c>
      <c r="E4">
        <v>34.331868131868198</v>
      </c>
      <c r="F4">
        <v>77.3164835164838</v>
      </c>
    </row>
    <row r="5" spans="1:6" x14ac:dyDescent="0.25">
      <c r="A5">
        <v>471.301098901101</v>
      </c>
      <c r="B5">
        <v>0.06</v>
      </c>
      <c r="C5">
        <v>64.895604395604593</v>
      </c>
      <c r="D5">
        <v>208.363736263737</v>
      </c>
      <c r="E5">
        <v>32.098901098901202</v>
      </c>
      <c r="F5">
        <v>67.547252747252998</v>
      </c>
    </row>
    <row r="6" spans="1:6" x14ac:dyDescent="0.25">
      <c r="A6">
        <v>461.301098901101</v>
      </c>
      <c r="B6">
        <v>7.0000000000000007E-2</v>
      </c>
      <c r="C6">
        <v>64.756043956044195</v>
      </c>
      <c r="D6">
        <v>208.503296703297</v>
      </c>
      <c r="E6">
        <v>31.121978021978101</v>
      </c>
      <c r="F6">
        <v>59.4527472527474</v>
      </c>
    </row>
    <row r="7" spans="1:6" x14ac:dyDescent="0.25">
      <c r="A7">
        <v>451.301098901101</v>
      </c>
      <c r="B7">
        <v>0.09</v>
      </c>
      <c r="C7">
        <v>64.616483516483697</v>
      </c>
      <c r="D7">
        <v>210.038461538462</v>
      </c>
      <c r="E7">
        <v>29.7263736263737</v>
      </c>
      <c r="F7">
        <v>54.568131868131999</v>
      </c>
    </row>
    <row r="8" spans="1:6" x14ac:dyDescent="0.25">
      <c r="A8">
        <v>441.301098901101</v>
      </c>
      <c r="B8">
        <v>0.11</v>
      </c>
      <c r="C8">
        <v>64.476923076923299</v>
      </c>
      <c r="D8">
        <v>210.45714285714399</v>
      </c>
      <c r="E8">
        <v>28.609890109890198</v>
      </c>
      <c r="F8">
        <v>47.031868131868301</v>
      </c>
    </row>
    <row r="9" spans="1:6" x14ac:dyDescent="0.25">
      <c r="A9">
        <v>431.301098901101</v>
      </c>
      <c r="B9">
        <v>0.11</v>
      </c>
      <c r="C9">
        <v>64.337362637362801</v>
      </c>
      <c r="D9">
        <v>213.38791208791301</v>
      </c>
      <c r="E9">
        <v>27.632967032967102</v>
      </c>
      <c r="F9">
        <v>42.007692307692402</v>
      </c>
    </row>
    <row r="10" spans="1:6" x14ac:dyDescent="0.25">
      <c r="A10">
        <v>421.301098901101</v>
      </c>
      <c r="B10">
        <v>0.15</v>
      </c>
      <c r="C10">
        <v>64.197802197802403</v>
      </c>
      <c r="D10">
        <v>212.131868131869</v>
      </c>
      <c r="E10">
        <v>24.423076923077002</v>
      </c>
      <c r="F10">
        <v>37.402197802197897</v>
      </c>
    </row>
    <row r="11" spans="1:6" x14ac:dyDescent="0.25">
      <c r="A11">
        <v>411.301098901101</v>
      </c>
      <c r="B11">
        <v>0.18</v>
      </c>
      <c r="C11">
        <v>63.360439560439801</v>
      </c>
      <c r="D11">
        <v>214.085714285715</v>
      </c>
      <c r="E11">
        <v>24.2835164835166</v>
      </c>
      <c r="F11">
        <v>33.354945054945198</v>
      </c>
    </row>
    <row r="12" spans="1:6" x14ac:dyDescent="0.25">
      <c r="A12">
        <v>401.301098901101</v>
      </c>
      <c r="B12">
        <v>0.19</v>
      </c>
      <c r="C12">
        <v>61.964835164835399</v>
      </c>
      <c r="D12">
        <v>217.57472527472601</v>
      </c>
      <c r="E12">
        <v>22.0505494505495</v>
      </c>
      <c r="F12">
        <v>30.0054945054946</v>
      </c>
    </row>
    <row r="13" spans="1:6" x14ac:dyDescent="0.25">
      <c r="A13">
        <v>391.301098901101</v>
      </c>
      <c r="B13">
        <v>0.19</v>
      </c>
      <c r="C13">
        <v>61.825274725274902</v>
      </c>
      <c r="D13">
        <v>218.83076923076999</v>
      </c>
      <c r="E13">
        <v>23.446153846153901</v>
      </c>
      <c r="F13">
        <v>26.2373626373627</v>
      </c>
    </row>
    <row r="14" spans="1:6" x14ac:dyDescent="0.25">
      <c r="A14">
        <v>381.301098901101</v>
      </c>
      <c r="B14">
        <v>0.21</v>
      </c>
      <c r="C14">
        <v>60.987912087912299</v>
      </c>
      <c r="D14">
        <v>221.9010989011</v>
      </c>
      <c r="E14">
        <v>23.167032967032998</v>
      </c>
      <c r="F14">
        <v>25.2604395604396</v>
      </c>
    </row>
    <row r="15" spans="1:6" x14ac:dyDescent="0.25">
      <c r="A15">
        <v>371.301098901101</v>
      </c>
      <c r="B15">
        <v>0.22</v>
      </c>
      <c r="C15">
        <v>60.708791208791403</v>
      </c>
      <c r="D15">
        <v>222.18021978022</v>
      </c>
      <c r="E15">
        <v>22.190109890110001</v>
      </c>
      <c r="F15">
        <v>21.352747252747299</v>
      </c>
    </row>
    <row r="16" spans="1:6" x14ac:dyDescent="0.25">
      <c r="A16">
        <v>361.301098901101</v>
      </c>
      <c r="B16">
        <v>0.24</v>
      </c>
      <c r="C16">
        <v>60.4296703296705</v>
      </c>
      <c r="D16">
        <v>224.273626373627</v>
      </c>
      <c r="E16">
        <v>22.190109890110001</v>
      </c>
      <c r="F16">
        <v>18.980219780219802</v>
      </c>
    </row>
    <row r="17" spans="1:6" x14ac:dyDescent="0.25">
      <c r="A17">
        <v>351.301098901101</v>
      </c>
      <c r="B17">
        <v>0.27</v>
      </c>
      <c r="C17">
        <v>59.4527472527474</v>
      </c>
      <c r="D17">
        <v>227.34395604395701</v>
      </c>
      <c r="E17">
        <v>21.0736263736264</v>
      </c>
      <c r="F17">
        <v>17.445054945054999</v>
      </c>
    </row>
    <row r="18" spans="1:6" x14ac:dyDescent="0.25">
      <c r="A18">
        <v>341.301098901101</v>
      </c>
      <c r="B18">
        <v>0.33</v>
      </c>
      <c r="C18">
        <v>58.894505494505701</v>
      </c>
      <c r="D18">
        <v>226.92527472527499</v>
      </c>
      <c r="E18">
        <v>19.398901098901199</v>
      </c>
      <c r="F18">
        <v>15.6307692307693</v>
      </c>
    </row>
    <row r="19" spans="1:6" x14ac:dyDescent="0.25">
      <c r="A19">
        <v>331.301098901101</v>
      </c>
      <c r="B19">
        <v>0.45</v>
      </c>
      <c r="C19">
        <v>58.336263736263902</v>
      </c>
      <c r="D19">
        <v>228.87912087912201</v>
      </c>
      <c r="E19">
        <v>18.421978021978099</v>
      </c>
      <c r="F19">
        <v>14.2351648351649</v>
      </c>
    </row>
    <row r="20" spans="1:6" x14ac:dyDescent="0.25">
      <c r="A20">
        <v>321.301098901101</v>
      </c>
      <c r="B20">
        <v>0.61</v>
      </c>
      <c r="C20">
        <v>56.5219780219782</v>
      </c>
      <c r="D20">
        <v>231.949450549451</v>
      </c>
      <c r="E20">
        <v>16.747252747252801</v>
      </c>
      <c r="F20">
        <v>12.7</v>
      </c>
    </row>
    <row r="21" spans="1:6" x14ac:dyDescent="0.25">
      <c r="A21">
        <v>311.301098901101</v>
      </c>
      <c r="B21">
        <v>0.88</v>
      </c>
      <c r="C21">
        <v>52.195604395604597</v>
      </c>
      <c r="D21">
        <v>237.81098901099</v>
      </c>
      <c r="E21">
        <v>13.816483516483601</v>
      </c>
      <c r="F21">
        <v>11.1648351648352</v>
      </c>
    </row>
    <row r="22" spans="1:6" x14ac:dyDescent="0.25">
      <c r="A22">
        <v>301.301098901101</v>
      </c>
      <c r="B22">
        <v>1.21</v>
      </c>
      <c r="C22">
        <v>46.473626373626502</v>
      </c>
      <c r="D22">
        <v>242.41648351648399</v>
      </c>
      <c r="E22">
        <v>10.606593406593401</v>
      </c>
      <c r="F22">
        <v>9.7692307692308002</v>
      </c>
    </row>
    <row r="23" spans="1:6" x14ac:dyDescent="0.25">
      <c r="A23">
        <v>291.301098901101</v>
      </c>
      <c r="B23">
        <v>1.57</v>
      </c>
      <c r="C23">
        <v>42.286813186813298</v>
      </c>
      <c r="D23">
        <v>247.859340659341</v>
      </c>
      <c r="E23">
        <v>6.8384615384615604</v>
      </c>
      <c r="F23">
        <v>8.5131868131868398</v>
      </c>
    </row>
    <row r="24" spans="1:6" x14ac:dyDescent="0.25">
      <c r="A24">
        <v>281.301098901101</v>
      </c>
      <c r="B24">
        <v>1.51</v>
      </c>
      <c r="C24">
        <v>38.937362637362803</v>
      </c>
      <c r="D24">
        <v>248.83626373626399</v>
      </c>
      <c r="E24">
        <v>6.2802197802197997</v>
      </c>
      <c r="F24">
        <v>7.2571428571428802</v>
      </c>
    </row>
    <row r="25" spans="1:6" x14ac:dyDescent="0.25">
      <c r="A25">
        <v>271.301098901101</v>
      </c>
      <c r="B25">
        <v>2.0699999999999998</v>
      </c>
      <c r="C25">
        <v>33.494505494505603</v>
      </c>
      <c r="D25">
        <v>254.41868131868199</v>
      </c>
      <c r="E25">
        <v>6.1406593406593597</v>
      </c>
      <c r="F25">
        <v>6.4197802197802396</v>
      </c>
    </row>
    <row r="26" spans="1:6" x14ac:dyDescent="0.25">
      <c r="A26">
        <v>261.301098901101</v>
      </c>
      <c r="B26">
        <v>2.84</v>
      </c>
      <c r="C26">
        <v>30.563736263736399</v>
      </c>
      <c r="D26">
        <v>260.83846153846201</v>
      </c>
      <c r="E26">
        <v>5.7219780219780398</v>
      </c>
      <c r="F26">
        <v>5.7219780219780398</v>
      </c>
    </row>
    <row r="27" spans="1:6" x14ac:dyDescent="0.25">
      <c r="A27">
        <v>251.301098901101</v>
      </c>
      <c r="B27">
        <v>2.89</v>
      </c>
      <c r="C27">
        <v>26.2373626373627</v>
      </c>
      <c r="D27">
        <v>258.74505494505598</v>
      </c>
      <c r="E27">
        <v>5.30329670329672</v>
      </c>
      <c r="F27">
        <v>4.7450549450549602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60lb(ni=3,no=1)_T1</vt:lpstr>
      <vt:lpstr>60lb(ni=3,no=1)_T2</vt:lpstr>
      <vt:lpstr>60lb(ni=3,no=1)T3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2026-05-22T19:32:38Z</dcterms:modified>
</cp:coreProperties>
</file>