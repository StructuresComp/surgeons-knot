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HD\UCLA\Knot\Test data - Modified\Surgeon Knot\With Standard Deviation\"/>
    </mc:Choice>
  </mc:AlternateContent>
  <xr:revisionPtr revIDLastSave="0" documentId="13_ncr:1_{0118C5A0-F442-466C-A16A-5E4325384E25}" xr6:coauthVersionLast="47" xr6:coauthVersionMax="47" xr10:uidLastSave="{00000000-0000-0000-0000-000000000000}"/>
  <bookViews>
    <workbookView xWindow="28680" yWindow="-120" windowWidth="29040" windowHeight="15720" xr2:uid="{778308DE-EE87-45D1-8653-0828AEFA584A}"/>
  </bookViews>
  <sheets>
    <sheet name="Summary" sheetId="5" r:id="rId1"/>
    <sheet name="30lb(ni=3,no=1)_T1" sheetId="1" r:id="rId2"/>
    <sheet name="30lb(ni=3,no=1_T2)" sheetId="4" r:id="rId3"/>
    <sheet name="30lb(ni=3,no=1_T3)" sheetId="3" r:id="rId4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8" i="5" l="1"/>
  <c r="B18" i="5"/>
  <c r="C18" i="5"/>
  <c r="D18" i="5"/>
  <c r="E18" i="5"/>
  <c r="F18" i="5"/>
  <c r="G18" i="5"/>
  <c r="H18" i="5"/>
  <c r="I18" i="5"/>
  <c r="J18" i="5"/>
  <c r="K18" i="5"/>
  <c r="A19" i="5"/>
  <c r="B19" i="5"/>
  <c r="C19" i="5"/>
  <c r="D19" i="5"/>
  <c r="E19" i="5"/>
  <c r="F19" i="5"/>
  <c r="G19" i="5"/>
  <c r="H19" i="5"/>
  <c r="I19" i="5"/>
  <c r="J19" i="5"/>
  <c r="K19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3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0F5904-2ED3-4DDC-AD85-FD7F0BB09138}" keepAlive="1" name="Query - 30lb(ni=1,no=1_T1)" description="Connection to the '30lb(ni=1,no=1_T1)' query in the workbook." type="5" refreshedVersion="0" background="1">
    <dbPr connection="Provider=Microsoft.Mashup.OleDb.1;Data Source=$Workbook$;Location=&quot;30lb(ni=1,no=1_T1)&quot;;Extended Properties=&quot;&quot;" command="SELECT * FROM [30lb(ni=1,no=1_T1)]"/>
  </connection>
</connections>
</file>

<file path=xl/sharedStrings.xml><?xml version="1.0" encoding="utf-8"?>
<sst xmlns="http://schemas.openxmlformats.org/spreadsheetml/2006/main" count="34" uniqueCount="8">
  <si>
    <t>F (N)</t>
  </si>
  <si>
    <t>L_bi (mm)</t>
  </si>
  <si>
    <t>L_li (mm)</t>
  </si>
  <si>
    <t>L_bo (mm)</t>
  </si>
  <si>
    <t>R_bi (mm)</t>
  </si>
  <si>
    <t>e(mm)</t>
  </si>
  <si>
    <t>ave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</si>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</sst>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157A-7AAC-411D-A08A-5424BB73013D}">
  <dimension ref="A1:K19"/>
  <sheetViews>
    <sheetView tabSelected="1" workbookViewId="0">
      <selection activeCell="R20" sqref="R20"/>
    </sheetView>
  </sheetViews>
  <sheetFormatPr defaultRowHeight="15" x14ac:dyDescent="0.25"/>
  <sheetData>
    <row r="1" spans="1:11" x14ac:dyDescent="0.25">
      <c r="A1" s="1" t="s">
        <v>5</v>
      </c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</row>
    <row r="2" spans="1:11" x14ac:dyDescent="0.25">
      <c r="A2" s="2"/>
      <c r="B2" s="5" t="s">
        <v>6</v>
      </c>
      <c r="C2" s="6" t="s">
        <v>7</v>
      </c>
      <c r="D2" s="5" t="s">
        <v>6</v>
      </c>
      <c r="E2" s="6" t="s">
        <v>7</v>
      </c>
      <c r="F2" s="5" t="s">
        <v>6</v>
      </c>
      <c r="G2" s="6" t="s">
        <v>7</v>
      </c>
      <c r="H2" s="5" t="s">
        <v>6</v>
      </c>
      <c r="I2" s="6" t="s">
        <v>7</v>
      </c>
      <c r="J2" s="5" t="s">
        <v>6</v>
      </c>
      <c r="K2" s="6" t="s">
        <v>7</v>
      </c>
    </row>
    <row r="3" spans="1:11" x14ac:dyDescent="0.25">
      <c r="A3" s="3">
        <f>AVERAGE('30lb(ni=3,no=1)_T1'!A2,'30lb(ni=3,no=1_T2)'!A2,'30lb(ni=3,no=1_T3)'!A2)</f>
        <v>343.23722162707503</v>
      </c>
      <c r="B3" s="7">
        <f>AVERAGE('30lb(ni=3,no=1)_T1'!B2,'30lb(ni=3,no=1_T2)'!B2,'30lb(ni=3,no=1_T3)'!B2)</f>
        <v>0</v>
      </c>
      <c r="C3" s="8">
        <f>_xlfn.STDEV.P('30lb(ni=3,no=1)_T1'!B2,'30lb(ni=3,no=1_T2)'!B2,'30lb(ni=3,no=1_T3)'!B2)</f>
        <v>0</v>
      </c>
      <c r="D3" s="7">
        <f>AVERAGE('30lb(ni=3,no=1)_T1'!C2,'30lb(ni=3,no=1_T2)'!C2,'30lb(ni=3,no=1_T3)'!C2)</f>
        <v>41.954576180575906</v>
      </c>
      <c r="E3" s="8">
        <f>_xlfn.STDEV.P('30lb(ni=3,no=1)_T1'!C2,'30lb(ni=3,no=1_T2)'!C2,'30lb(ni=3,no=1_T3)'!C2)</f>
        <v>0.307137649942476</v>
      </c>
      <c r="F3" s="7">
        <f>AVERAGE('30lb(ni=3,no=1)_T1'!D2,'30lb(ni=3,no=1_T2)'!D2,'30lb(ni=3,no=1_T3)'!D2)</f>
        <v>143.20342334097532</v>
      </c>
      <c r="G3" s="8">
        <f>_xlfn.STDEV.P('30lb(ni=3,no=1)_T1'!D2,'30lb(ni=3,no=1_T2)'!D2,'30lb(ni=3,no=1_T3)'!D2)</f>
        <v>5.3227901382757468</v>
      </c>
      <c r="H3" s="7">
        <f>AVERAGE('30lb(ni=3,no=1)_T1'!E2,'30lb(ni=3,no=1_T2)'!E2,'30lb(ni=3,no=1_T3)'!E2)</f>
        <v>30.661281461063698</v>
      </c>
      <c r="I3" s="8">
        <f>_xlfn.STDEV.P('30lb(ni=3,no=1)_T1'!E2,'30lb(ni=3,no=1_T2)'!E2,'30lb(ni=3,no=1_T3)'!E2)</f>
        <v>0.52425554428995158</v>
      </c>
      <c r="J3" s="7">
        <f>AVERAGE('30lb(ni=3,no=1)_T1'!F2,'30lb(ni=3,no=1_T2)'!F2,'30lb(ni=3,no=1_T3)'!F2)</f>
        <v>129.47150279432847</v>
      </c>
      <c r="K3" s="8">
        <f>_xlfn.STDEV.P('30lb(ni=3,no=1)_T1'!F2,'30lb(ni=3,no=1_T2)'!F2,'30lb(ni=3,no=1_T3)'!F2)</f>
        <v>45.169038746817698</v>
      </c>
    </row>
    <row r="4" spans="1:11" x14ac:dyDescent="0.25">
      <c r="A4" s="3">
        <f>AVERAGE('30lb(ni=3,no=1)_T1'!A3,'30lb(ni=3,no=1_T2)'!A3,'30lb(ni=3,no=1_T3)'!A3)</f>
        <v>333.23722162707503</v>
      </c>
      <c r="B4" s="7">
        <f>AVERAGE('30lb(ni=3,no=1)_T1'!B3,'30lb(ni=3,no=1_T2)'!B3,'30lb(ni=3,no=1_T3)'!B3)</f>
        <v>6.6666666666666671E-3</v>
      </c>
      <c r="C4" s="8">
        <f>_xlfn.STDEV.P('30lb(ni=3,no=1)_T1'!B3,'30lb(ni=3,no=1_T2)'!B3,'30lb(ni=3,no=1_T3)'!B3)</f>
        <v>4.7140452079103175E-3</v>
      </c>
      <c r="D4" s="7">
        <f>AVERAGE('30lb(ni=3,no=1)_T1'!C3,'30lb(ni=3,no=1_T2)'!C3,'30lb(ni=3,no=1_T3)'!C3)</f>
        <v>41.995378634325135</v>
      </c>
      <c r="E4" s="8">
        <f>_xlfn.STDEV.P('30lb(ni=3,no=1)_T1'!C3,'30lb(ni=3,no=1_T2)'!C3,'30lb(ni=3,no=1_T3)'!C3)</f>
        <v>0.36840435260687576</v>
      </c>
      <c r="F4" s="7">
        <f>AVERAGE('30lb(ni=3,no=1)_T1'!D3,'30lb(ni=3,no=1_T2)'!D3,'30lb(ni=3,no=1_T3)'!D3)</f>
        <v>143.09796200749932</v>
      </c>
      <c r="G4" s="8">
        <f>_xlfn.STDEV.P('30lb(ni=3,no=1)_T1'!D3,'30lb(ni=3,no=1_T2)'!D3,'30lb(ni=3,no=1_T3)'!D3)</f>
        <v>6.4039261761038606</v>
      </c>
      <c r="H4" s="7">
        <f>AVERAGE('30lb(ni=3,no=1)_T1'!E3,'30lb(ni=3,no=1_T2)'!E3,'30lb(ni=3,no=1_T3)'!E3)</f>
        <v>28.738047605756734</v>
      </c>
      <c r="I4" s="8">
        <f>_xlfn.STDEV.P('30lb(ni=3,no=1)_T1'!E3,'30lb(ni=3,no=1_T2)'!E3,'30lb(ni=3,no=1_T3)'!E3)</f>
        <v>1.6837291923819548</v>
      </c>
      <c r="J4" s="7">
        <f>AVERAGE('30lb(ni=3,no=1)_T1'!F3,'30lb(ni=3,no=1_T2)'!F3,'30lb(ni=3,no=1_T3)'!F3)</f>
        <v>100.26901285448314</v>
      </c>
      <c r="K4" s="8">
        <f>_xlfn.STDEV.P('30lb(ni=3,no=1)_T1'!F3,'30lb(ni=3,no=1_T2)'!F3,'30lb(ni=3,no=1_T3)'!F3)</f>
        <v>40.059449658911916</v>
      </c>
    </row>
    <row r="5" spans="1:11" x14ac:dyDescent="0.25">
      <c r="A5" s="3">
        <f>AVERAGE('30lb(ni=3,no=1)_T1'!A4,'30lb(ni=3,no=1_T2)'!A4,'30lb(ni=3,no=1_T3)'!A4)</f>
        <v>323.23722162707503</v>
      </c>
      <c r="B5" s="7">
        <f>AVERAGE('30lb(ni=3,no=1)_T1'!B4,'30lb(ni=3,no=1_T2)'!B4,'30lb(ni=3,no=1_T3)'!B4)</f>
        <v>1.6666666666666666E-2</v>
      </c>
      <c r="C5" s="8">
        <f>_xlfn.STDEV.P('30lb(ni=3,no=1)_T1'!B4,'30lb(ni=3,no=1_T2)'!B4,'30lb(ni=3,no=1_T3)'!B4)</f>
        <v>4.7140452079103123E-3</v>
      </c>
      <c r="D5" s="7">
        <f>AVERAGE('30lb(ni=3,no=1)_T1'!C4,'30lb(ni=3,no=1_T2)'!C4,'30lb(ni=3,no=1_T3)'!C4)</f>
        <v>41.571656226477607</v>
      </c>
      <c r="E5" s="8">
        <f>_xlfn.STDEV.P('30lb(ni=3,no=1)_T1'!C4,'30lb(ni=3,no=1_T2)'!C4,'30lb(ni=3,no=1_T3)'!C4)</f>
        <v>0.36664588117213343</v>
      </c>
      <c r="F5" s="7">
        <f>AVERAGE('30lb(ni=3,no=1)_T1'!D4,'30lb(ni=3,no=1_T2)'!D4,'30lb(ni=3,no=1_T3)'!D4)</f>
        <v>143.11679108534432</v>
      </c>
      <c r="G5" s="8">
        <f>_xlfn.STDEV.P('30lb(ni=3,no=1)_T1'!D4,'30lb(ni=3,no=1_T2)'!D4,'30lb(ni=3,no=1_T3)'!D4)</f>
        <v>6.2559105408345008</v>
      </c>
      <c r="H5" s="7">
        <f>AVERAGE('30lb(ni=3,no=1)_T1'!E4,'30lb(ni=3,no=1_T2)'!E4,'30lb(ni=3,no=1_T3)'!E4)</f>
        <v>26.4120974391959</v>
      </c>
      <c r="I5" s="8">
        <f>_xlfn.STDEV.P('30lb(ni=3,no=1)_T1'!E4,'30lb(ni=3,no=1_T2)'!E4,'30lb(ni=3,no=1_T3)'!E4)</f>
        <v>1.959189048350241</v>
      </c>
      <c r="J5" s="7">
        <f>AVERAGE('30lb(ni=3,no=1)_T1'!F4,'30lb(ni=3,no=1_T2)'!F4,'30lb(ni=3,no=1_T3)'!F4)</f>
        <v>72.913892646657999</v>
      </c>
      <c r="K5" s="8">
        <f>_xlfn.STDEV.P('30lb(ni=3,no=1)_T1'!F4,'30lb(ni=3,no=1_T2)'!F4,'30lb(ni=3,no=1_T3)'!F4)</f>
        <v>17.982657622262778</v>
      </c>
    </row>
    <row r="6" spans="1:11" x14ac:dyDescent="0.25">
      <c r="A6" s="3">
        <f>AVERAGE('30lb(ni=3,no=1)_T1'!A5,'30lb(ni=3,no=1_T2)'!A5,'30lb(ni=3,no=1_T3)'!A5)</f>
        <v>313.23722162707503</v>
      </c>
      <c r="B6" s="7">
        <f>AVERAGE('30lb(ni=3,no=1)_T1'!B5,'30lb(ni=3,no=1_T2)'!B5,'30lb(ni=3,no=1_T3)'!B5)</f>
        <v>0.02</v>
      </c>
      <c r="C6" s="8">
        <f>_xlfn.STDEV.P('30lb(ni=3,no=1)_T1'!B5,'30lb(ni=3,no=1_T2)'!B5,'30lb(ni=3,no=1_T3)'!B5)</f>
        <v>0</v>
      </c>
      <c r="D6" s="7">
        <f>AVERAGE('30lb(ni=3,no=1)_T1'!C5,'30lb(ni=3,no=1_T2)'!C5,'30lb(ni=3,no=1_T3)'!C5)</f>
        <v>41.077754986920297</v>
      </c>
      <c r="E6" s="8">
        <f>_xlfn.STDEV.P('30lb(ni=3,no=1)_T1'!C5,'30lb(ni=3,no=1_T2)'!C5,'30lb(ni=3,no=1_T3)'!C5)</f>
        <v>0.12802405574773221</v>
      </c>
      <c r="F6" s="7">
        <f>AVERAGE('30lb(ni=3,no=1)_T1'!D5,'30lb(ni=3,no=1_T2)'!D5,'30lb(ni=3,no=1_T3)'!D5)</f>
        <v>144.35316442688432</v>
      </c>
      <c r="G6" s="8">
        <f>_xlfn.STDEV.P('30lb(ni=3,no=1)_T1'!D5,'30lb(ni=3,no=1_T2)'!D5,'30lb(ni=3,no=1_T3)'!D5)</f>
        <v>5.9012629143565931</v>
      </c>
      <c r="H6" s="7">
        <f>AVERAGE('30lb(ni=3,no=1)_T1'!E5,'30lb(ni=3,no=1_T2)'!E5,'30lb(ni=3,no=1_T3)'!E5)</f>
        <v>24.777895691503932</v>
      </c>
      <c r="I6" s="8">
        <f>_xlfn.STDEV.P('30lb(ni=3,no=1)_T1'!E5,'30lb(ni=3,no=1_T2)'!E5,'30lb(ni=3,no=1_T3)'!E5)</f>
        <v>1.6346454039334899</v>
      </c>
      <c r="J6" s="7">
        <f>AVERAGE('30lb(ni=3,no=1)_T1'!F5,'30lb(ni=3,no=1_T2)'!F5,'30lb(ni=3,no=1_T3)'!F5)</f>
        <v>59.297571226415791</v>
      </c>
      <c r="K6" s="8">
        <f>_xlfn.STDEV.P('30lb(ni=3,no=1)_T1'!F5,'30lb(ni=3,no=1_T2)'!F5,'30lb(ni=3,no=1_T3)'!F5)</f>
        <v>17.35640390631368</v>
      </c>
    </row>
    <row r="7" spans="1:11" x14ac:dyDescent="0.25">
      <c r="A7" s="3">
        <f>AVERAGE('30lb(ni=3,no=1)_T1'!A6,'30lb(ni=3,no=1_T2)'!A6,'30lb(ni=3,no=1_T3)'!A6)</f>
        <v>303.23722162707503</v>
      </c>
      <c r="B7" s="7">
        <f>AVERAGE('30lb(ni=3,no=1)_T1'!B6,'30lb(ni=3,no=1_T2)'!B6,'30lb(ni=3,no=1_T3)'!B6)</f>
        <v>2.6666666666666668E-2</v>
      </c>
      <c r="C7" s="8">
        <f>_xlfn.STDEV.P('30lb(ni=3,no=1)_T1'!B6,'30lb(ni=3,no=1_T2)'!B6,'30lb(ni=3,no=1_T3)'!B6)</f>
        <v>4.7140452079103157E-3</v>
      </c>
      <c r="D7" s="7">
        <f>AVERAGE('30lb(ni=3,no=1)_T1'!C6,'30lb(ni=3,no=1_T2)'!C6,'30lb(ni=3,no=1_T3)'!C6)</f>
        <v>40.604019201684132</v>
      </c>
      <c r="E7" s="8">
        <f>_xlfn.STDEV.P('30lb(ni=3,no=1)_T1'!C6,'30lb(ni=3,no=1_T2)'!C6,'30lb(ni=3,no=1_T3)'!C6)</f>
        <v>5.4592429568454594E-2</v>
      </c>
      <c r="F7" s="7">
        <f>AVERAGE('30lb(ni=3,no=1)_T1'!D6,'30lb(ni=3,no=1_T2)'!D6,'30lb(ni=3,no=1_T3)'!D6)</f>
        <v>144.48869138530267</v>
      </c>
      <c r="G7" s="8">
        <f>_xlfn.STDEV.P('30lb(ni=3,no=1)_T1'!D6,'30lb(ni=3,no=1_T2)'!D6,'30lb(ni=3,no=1_T3)'!D6)</f>
        <v>5.5488283068520161</v>
      </c>
      <c r="H7" s="7">
        <f>AVERAGE('30lb(ni=3,no=1)_T1'!E6,'30lb(ni=3,no=1_T2)'!E6,'30lb(ni=3,no=1_T3)'!E6)</f>
        <v>23.488763083175765</v>
      </c>
      <c r="I7" s="8">
        <f>_xlfn.STDEV.P('30lb(ni=3,no=1)_T1'!E6,'30lb(ni=3,no=1_T2)'!E6,'30lb(ni=3,no=1_T3)'!E6)</f>
        <v>1.5132885773848492</v>
      </c>
      <c r="J7" s="7">
        <f>AVERAGE('30lb(ni=3,no=1)_T1'!F6,'30lb(ni=3,no=1_T2)'!F6,'30lb(ni=3,no=1_T3)'!F6)</f>
        <v>46.755157503177941</v>
      </c>
      <c r="K7" s="8">
        <f>_xlfn.STDEV.P('30lb(ni=3,no=1)_T1'!F6,'30lb(ni=3,no=1_T2)'!F6,'30lb(ni=3,no=1_T3)'!F6)</f>
        <v>10.761792475354559</v>
      </c>
    </row>
    <row r="8" spans="1:11" x14ac:dyDescent="0.25">
      <c r="A8" s="3">
        <f>AVERAGE('30lb(ni=3,no=1)_T1'!A7,'30lb(ni=3,no=1_T2)'!A7,'30lb(ni=3,no=1_T3)'!A7)</f>
        <v>293.23722162707503</v>
      </c>
      <c r="B8" s="7">
        <f>AVERAGE('30lb(ni=3,no=1)_T1'!B7,'30lb(ni=3,no=1_T2)'!B7,'30lb(ni=3,no=1_T3)'!B7)</f>
        <v>0.04</v>
      </c>
      <c r="C8" s="8">
        <f>_xlfn.STDEV.P('30lb(ni=3,no=1)_T1'!B7,'30lb(ni=3,no=1_T2)'!B7,'30lb(ni=3,no=1_T3)'!B7)</f>
        <v>8.1649658092772595E-3</v>
      </c>
      <c r="D8" s="7">
        <f>AVERAGE('30lb(ni=3,no=1)_T1'!C7,'30lb(ni=3,no=1_T2)'!C7,'30lb(ni=3,no=1_T3)'!C7)</f>
        <v>40.048617324762567</v>
      </c>
      <c r="E8" s="8">
        <f>_xlfn.STDEV.P('30lb(ni=3,no=1)_T1'!C7,'30lb(ni=3,no=1_T2)'!C7,'30lb(ni=3,no=1_T3)'!C7)</f>
        <v>0.18012426487327976</v>
      </c>
      <c r="F8" s="7">
        <f>AVERAGE('30lb(ni=3,no=1)_T1'!D7,'30lb(ni=3,no=1_T2)'!D7,'30lb(ni=3,no=1_T3)'!D7)</f>
        <v>145.39942569324498</v>
      </c>
      <c r="G8" s="8">
        <f>_xlfn.STDEV.P('30lb(ni=3,no=1)_T1'!D7,'30lb(ni=3,no=1_T2)'!D7,'30lb(ni=3,no=1_T3)'!D7)</f>
        <v>6.0329055522922408</v>
      </c>
      <c r="H8" s="7">
        <f>AVERAGE('30lb(ni=3,no=1)_T1'!E7,'30lb(ni=3,no=1_T2)'!E7,'30lb(ni=3,no=1_T3)'!E7)</f>
        <v>22.24877702882333</v>
      </c>
      <c r="I8" s="8">
        <f>_xlfn.STDEV.P('30lb(ni=3,no=1)_T1'!E7,'30lb(ni=3,no=1_T2)'!E7,'30lb(ni=3,no=1_T3)'!E7)</f>
        <v>1.9464800702573501</v>
      </c>
      <c r="J8" s="7">
        <f>AVERAGE('30lb(ni=3,no=1)_T1'!F7,'30lb(ni=3,no=1_T2)'!F7,'30lb(ni=3,no=1_T3)'!F7)</f>
        <v>35.584590010151636</v>
      </c>
      <c r="K8" s="8">
        <f>_xlfn.STDEV.P('30lb(ni=3,no=1)_T1'!F7,'30lb(ni=3,no=1_T2)'!F7,'30lb(ni=3,no=1_T3)'!F7)</f>
        <v>5.4419975934217932</v>
      </c>
    </row>
    <row r="9" spans="1:11" x14ac:dyDescent="0.25">
      <c r="A9" s="3">
        <f>AVERAGE('30lb(ni=3,no=1)_T1'!A8,'30lb(ni=3,no=1_T2)'!A8,'30lb(ni=3,no=1_T3)'!A8)</f>
        <v>283.23722162707503</v>
      </c>
      <c r="B9" s="7">
        <f>AVERAGE('30lb(ni=3,no=1)_T1'!B8,'30lb(ni=3,no=1_T2)'!B8,'30lb(ni=3,no=1_T3)'!B8)</f>
        <v>4.9999999999999996E-2</v>
      </c>
      <c r="C9" s="8">
        <f>_xlfn.STDEV.P('30lb(ni=3,no=1)_T1'!B8,'30lb(ni=3,no=1_T2)'!B8,'30lb(ni=3,no=1_T3)'!B8)</f>
        <v>8.1649658092772838E-3</v>
      </c>
      <c r="D9" s="7">
        <f>AVERAGE('30lb(ni=3,no=1)_T1'!C8,'30lb(ni=3,no=1_T2)'!C8,'30lb(ni=3,no=1_T3)'!C8)</f>
        <v>39.453119315730298</v>
      </c>
      <c r="E9" s="8">
        <f>_xlfn.STDEV.P('30lb(ni=3,no=1)_T1'!C8,'30lb(ni=3,no=1_T2)'!C8,'30lb(ni=3,no=1_T3)'!C8)</f>
        <v>0.22697065631876021</v>
      </c>
      <c r="F9" s="7">
        <f>AVERAGE('30lb(ni=3,no=1)_T1'!D8,'30lb(ni=3,no=1_T2)'!D8,'30lb(ni=3,no=1_T3)'!D8)</f>
        <v>145.83551925913767</v>
      </c>
      <c r="G9" s="8">
        <f>_xlfn.STDEV.P('30lb(ni=3,no=1)_T1'!D8,'30lb(ni=3,no=1_T2)'!D8,'30lb(ni=3,no=1_T3)'!D8)</f>
        <v>6.2117209078958995</v>
      </c>
      <c r="H9" s="7">
        <f>AVERAGE('30lb(ni=3,no=1)_T1'!E8,'30lb(ni=3,no=1_T2)'!E8,'30lb(ni=3,no=1_T3)'!E8)</f>
        <v>20.317172892149333</v>
      </c>
      <c r="I9" s="8">
        <f>_xlfn.STDEV.P('30lb(ni=3,no=1)_T1'!E8,'30lb(ni=3,no=1_T2)'!E8,'30lb(ni=3,no=1_T3)'!E8)</f>
        <v>1.4924806881294206</v>
      </c>
      <c r="J9" s="7">
        <f>AVERAGE('30lb(ni=3,no=1)_T1'!F8,'30lb(ni=3,no=1_T2)'!F8,'30lb(ni=3,no=1_T3)'!F8)</f>
        <v>29.054702524073534</v>
      </c>
      <c r="K9" s="8">
        <f>_xlfn.STDEV.P('30lb(ni=3,no=1)_T1'!F8,'30lb(ni=3,no=1_T2)'!F8,'30lb(ni=3,no=1_T3)'!F8)</f>
        <v>3.1234816825130101</v>
      </c>
    </row>
    <row r="10" spans="1:11" x14ac:dyDescent="0.25">
      <c r="A10" s="3">
        <f>AVERAGE('30lb(ni=3,no=1)_T1'!A9,'30lb(ni=3,no=1_T2)'!A9,'30lb(ni=3,no=1_T3)'!A9)</f>
        <v>273.23722162707503</v>
      </c>
      <c r="B10" s="7">
        <f>AVERAGE('30lb(ni=3,no=1)_T1'!B9,'30lb(ni=3,no=1_T2)'!B9,'30lb(ni=3,no=1_T3)'!B9)</f>
        <v>5.3333333333333337E-2</v>
      </c>
      <c r="C10" s="8">
        <f>_xlfn.STDEV.P('30lb(ni=3,no=1)_T1'!B9,'30lb(ni=3,no=1_T2)'!B9,'30lb(ni=3,no=1_T3)'!B9)</f>
        <v>4.714045207910314E-3</v>
      </c>
      <c r="D10" s="7">
        <f>AVERAGE('30lb(ni=3,no=1)_T1'!C9,'30lb(ni=3,no=1_T2)'!C9,'30lb(ni=3,no=1_T3)'!C9)</f>
        <v>38.922831982418835</v>
      </c>
      <c r="E10" s="8">
        <f>_xlfn.STDEV.P('30lb(ni=3,no=1)_T1'!C9,'30lb(ni=3,no=1_T2)'!C9,'30lb(ni=3,no=1_T3)'!C9)</f>
        <v>0.51973498071239999</v>
      </c>
      <c r="F10" s="7">
        <f>AVERAGE('30lb(ni=3,no=1)_T1'!D9,'30lb(ni=3,no=1_T2)'!D9,'30lb(ni=3,no=1_T3)'!D9)</f>
        <v>147.36925884830268</v>
      </c>
      <c r="G10" s="8">
        <f>_xlfn.STDEV.P('30lb(ni=3,no=1)_T1'!D9,'30lb(ni=3,no=1_T2)'!D9,'30lb(ni=3,no=1_T3)'!D9)</f>
        <v>6.1817692873574277</v>
      </c>
      <c r="H10" s="7">
        <f>AVERAGE('30lb(ni=3,no=1)_T1'!E9,'30lb(ni=3,no=1_T2)'!E9,'30lb(ni=3,no=1_T3)'!E9)</f>
        <v>19.160753054212467</v>
      </c>
      <c r="I10" s="8">
        <f>_xlfn.STDEV.P('30lb(ni=3,no=1)_T1'!E9,'30lb(ni=3,no=1_T2)'!E9,'30lb(ni=3,no=1_T3)'!E9)</f>
        <v>0.78206594209258595</v>
      </c>
      <c r="J10" s="7">
        <f>AVERAGE('30lb(ni=3,no=1)_T1'!F9,'30lb(ni=3,no=1_T2)'!F9,'30lb(ni=3,no=1_T3)'!F9)</f>
        <v>23.909542958492235</v>
      </c>
      <c r="K10" s="8">
        <f>_xlfn.STDEV.P('30lb(ni=3,no=1)_T1'!F9,'30lb(ni=3,no=1_T2)'!F9,'30lb(ni=3,no=1_T3)'!F9)</f>
        <v>1.9058487062134704</v>
      </c>
    </row>
    <row r="11" spans="1:11" x14ac:dyDescent="0.25">
      <c r="A11" s="3">
        <f>AVERAGE('30lb(ni=3,no=1)_T1'!A10,'30lb(ni=3,no=1_T2)'!A10,'30lb(ni=3,no=1_T3)'!A10)</f>
        <v>263.23722162707503</v>
      </c>
      <c r="B11" s="7">
        <f>AVERAGE('30lb(ni=3,no=1)_T1'!B10,'30lb(ni=3,no=1_T2)'!B10,'30lb(ni=3,no=1_T3)'!B10)</f>
        <v>7.6666666666666661E-2</v>
      </c>
      <c r="C11" s="8">
        <f>_xlfn.STDEV.P('30lb(ni=3,no=1)_T1'!B10,'30lb(ni=3,no=1_T2)'!B10,'30lb(ni=3,no=1_T3)'!B10)</f>
        <v>1.2472191289246495E-2</v>
      </c>
      <c r="D11" s="7">
        <f>AVERAGE('30lb(ni=3,no=1)_T1'!C10,'30lb(ni=3,no=1_T2)'!C10,'30lb(ni=3,no=1_T3)'!C10)</f>
        <v>38.322543393828767</v>
      </c>
      <c r="E11" s="8">
        <f>_xlfn.STDEV.P('30lb(ni=3,no=1)_T1'!C10,'30lb(ni=3,no=1_T2)'!C10,'30lb(ni=3,no=1_T3)'!C10)</f>
        <v>0.10142953942089065</v>
      </c>
      <c r="F11" s="7">
        <f>AVERAGE('30lb(ni=3,no=1)_T1'!D10,'30lb(ni=3,no=1_T2)'!D10,'30lb(ni=3,no=1_T3)'!D10)</f>
        <v>148.77006398111467</v>
      </c>
      <c r="G11" s="8">
        <f>_xlfn.STDEV.P('30lb(ni=3,no=1)_T1'!D10,'30lb(ni=3,no=1_T2)'!D10,'30lb(ni=3,no=1_T3)'!D10)</f>
        <v>5.6634124492520179</v>
      </c>
      <c r="H11" s="7">
        <f>AVERAGE('30lb(ni=3,no=1)_T1'!E10,'30lb(ni=3,no=1_T2)'!E10,'30lb(ni=3,no=1_T3)'!E10)</f>
        <v>18.3284082113056</v>
      </c>
      <c r="I11" s="8">
        <f>_xlfn.STDEV.P('30lb(ni=3,no=1)_T1'!E10,'30lb(ni=3,no=1_T2)'!E10,'30lb(ni=3,no=1_T3)'!E10)</f>
        <v>0.99527738871932592</v>
      </c>
      <c r="J11" s="7">
        <f>AVERAGE('30lb(ni=3,no=1)_T1'!F10,'30lb(ni=3,no=1_T2)'!F10,'30lb(ni=3,no=1_T3)'!F10)</f>
        <v>20.472213052997102</v>
      </c>
      <c r="K11" s="8">
        <f>_xlfn.STDEV.P('30lb(ni=3,no=1)_T1'!F10,'30lb(ni=3,no=1_T2)'!F10,'30lb(ni=3,no=1_T3)'!F10)</f>
        <v>0.75772499050963515</v>
      </c>
    </row>
    <row r="12" spans="1:11" x14ac:dyDescent="0.25">
      <c r="A12" s="3">
        <f>AVERAGE('30lb(ni=3,no=1)_T1'!A11,'30lb(ni=3,no=1_T2)'!A11,'30lb(ni=3,no=1_T3)'!A11)</f>
        <v>253.237221627075</v>
      </c>
      <c r="B12" s="7">
        <f>AVERAGE('30lb(ni=3,no=1)_T1'!B11,'30lb(ni=3,no=1_T2)'!B11,'30lb(ni=3,no=1_T3)'!B11)</f>
        <v>9.6666666666666679E-2</v>
      </c>
      <c r="C12" s="8">
        <f>_xlfn.STDEV.P('30lb(ni=3,no=1)_T1'!B11,'30lb(ni=3,no=1_T2)'!B11,'30lb(ni=3,no=1_T3)'!B11)</f>
        <v>1.6996731711975875E-2</v>
      </c>
      <c r="D12" s="7">
        <f>AVERAGE('30lb(ni=3,no=1)_T1'!C11,'30lb(ni=3,no=1_T2)'!C11,'30lb(ni=3,no=1_T3)'!C11)</f>
        <v>37.682433575103367</v>
      </c>
      <c r="E12" s="8">
        <f>_xlfn.STDEV.P('30lb(ni=3,no=1)_T1'!C11,'30lb(ni=3,no=1_T2)'!C11,'30lb(ni=3,no=1_T3)'!C11)</f>
        <v>0.40043107770515596</v>
      </c>
      <c r="F12" s="7">
        <f>AVERAGE('30lb(ni=3,no=1)_T1'!D11,'30lb(ni=3,no=1_T2)'!D11,'30lb(ni=3,no=1_T3)'!D11)</f>
        <v>149.82254839074298</v>
      </c>
      <c r="G12" s="8">
        <f>_xlfn.STDEV.P('30lb(ni=3,no=1)_T1'!D11,'30lb(ni=3,no=1_T2)'!D11,'30lb(ni=3,no=1_T3)'!D11)</f>
        <v>5.9563104754015903</v>
      </c>
      <c r="H12" s="7">
        <f>AVERAGE('30lb(ni=3,no=1)_T1'!E11,'30lb(ni=3,no=1_T2)'!E11,'30lb(ni=3,no=1_T3)'!E11)</f>
        <v>15.989813976767365</v>
      </c>
      <c r="I12" s="8">
        <f>_xlfn.STDEV.P('30lb(ni=3,no=1)_T1'!E11,'30lb(ni=3,no=1_T2)'!E11,'30lb(ni=3,no=1_T3)'!E11)</f>
        <v>1.6398826507942028</v>
      </c>
      <c r="J12" s="7">
        <f>AVERAGE('30lb(ni=3,no=1)_T1'!F11,'30lb(ni=3,no=1_T2)'!F11,'30lb(ni=3,no=1_T3)'!F11)</f>
        <v>16.0050664831567</v>
      </c>
      <c r="K12" s="8">
        <f>_xlfn.STDEV.P('30lb(ni=3,no=1)_T1'!F11,'30lb(ni=3,no=1_T2)'!F11,'30lb(ni=3,no=1_T3)'!F11)</f>
        <v>0.52567657102024823</v>
      </c>
    </row>
    <row r="13" spans="1:11" x14ac:dyDescent="0.25">
      <c r="A13" s="3">
        <f>AVERAGE('30lb(ni=3,no=1)_T1'!A12,'30lb(ni=3,no=1_T2)'!A12,'30lb(ni=3,no=1_T3)'!A12)</f>
        <v>243.237221627075</v>
      </c>
      <c r="B13" s="7">
        <f>AVERAGE('30lb(ni=3,no=1)_T1'!B12,'30lb(ni=3,no=1_T2)'!B12,'30lb(ni=3,no=1_T3)'!B12)</f>
        <v>0.12</v>
      </c>
      <c r="C13" s="8">
        <f>_xlfn.STDEV.P('30lb(ni=3,no=1)_T1'!B12,'30lb(ni=3,no=1_T2)'!B12,'30lb(ni=3,no=1_T3)'!B12)</f>
        <v>2.8284271247461978E-2</v>
      </c>
      <c r="D13" s="7">
        <f>AVERAGE('30lb(ni=3,no=1)_T1'!C12,'30lb(ni=3,no=1_T2)'!C12,'30lb(ni=3,no=1_T3)'!C12)</f>
        <v>37.209287719261532</v>
      </c>
      <c r="E13" s="8">
        <f>_xlfn.STDEV.P('30lb(ni=3,no=1)_T1'!C12,'30lb(ni=3,no=1_T2)'!C12,'30lb(ni=3,no=1_T3)'!C12)</f>
        <v>0.57299528467300598</v>
      </c>
      <c r="F13" s="7">
        <f>AVERAGE('30lb(ni=3,no=1)_T1'!D12,'30lb(ni=3,no=1_T2)'!D12,'30lb(ni=3,no=1_T3)'!D12)</f>
        <v>151.12012840097199</v>
      </c>
      <c r="G13" s="8">
        <f>_xlfn.STDEV.P('30lb(ni=3,no=1)_T1'!D12,'30lb(ni=3,no=1_T2)'!D12,'30lb(ni=3,no=1_T3)'!D12)</f>
        <v>6.3044704316747229</v>
      </c>
      <c r="H13" s="7">
        <f>AVERAGE('30lb(ni=3,no=1)_T1'!E12,'30lb(ni=3,no=1_T2)'!E12,'30lb(ni=3,no=1_T3)'!E12)</f>
        <v>15.733013414316533</v>
      </c>
      <c r="I13" s="8">
        <f>_xlfn.STDEV.P('30lb(ni=3,no=1)_T1'!E12,'30lb(ni=3,no=1_T2)'!E12,'30lb(ni=3,no=1_T3)'!E12)</f>
        <v>1.1927121366754605</v>
      </c>
      <c r="J13" s="7">
        <f>AVERAGE('30lb(ni=3,no=1)_T1'!F12,'30lb(ni=3,no=1_T2)'!F12,'30lb(ni=3,no=1_T3)'!F12)</f>
        <v>13.233162705525567</v>
      </c>
      <c r="K13" s="8">
        <f>_xlfn.STDEV.P('30lb(ni=3,no=1)_T1'!F12,'30lb(ni=3,no=1_T2)'!F12,'30lb(ni=3,no=1_T3)'!F12)</f>
        <v>0.8004835558618254</v>
      </c>
    </row>
    <row r="14" spans="1:11" x14ac:dyDescent="0.25">
      <c r="A14" s="3">
        <f>AVERAGE('30lb(ni=3,no=1)_T1'!A13,'30lb(ni=3,no=1_T2)'!A13,'30lb(ni=3,no=1_T3)'!A13)</f>
        <v>233.237221627075</v>
      </c>
      <c r="B14" s="7">
        <f>AVERAGE('30lb(ni=3,no=1)_T1'!B13,'30lb(ni=3,no=1_T2)'!B13,'30lb(ni=3,no=1_T3)'!B13)</f>
        <v>0.21</v>
      </c>
      <c r="C14" s="8">
        <f>_xlfn.STDEV.P('30lb(ni=3,no=1)_T1'!B13,'30lb(ni=3,no=1_T2)'!B13,'30lb(ni=3,no=1_T3)'!B13)</f>
        <v>0.10614455552060435</v>
      </c>
      <c r="D14" s="7">
        <f>AVERAGE('30lb(ni=3,no=1)_T1'!C13,'30lb(ni=3,no=1_T2)'!C13,'30lb(ni=3,no=1_T3)'!C13)</f>
        <v>37.029796080644793</v>
      </c>
      <c r="E14" s="8">
        <f>_xlfn.STDEV.P('30lb(ni=3,no=1)_T1'!C13,'30lb(ni=3,no=1_T2)'!C13,'30lb(ni=3,no=1_T3)'!C13)</f>
        <v>0.62256683919616607</v>
      </c>
      <c r="F14" s="7">
        <f>AVERAGE('30lb(ni=3,no=1)_T1'!D13,'30lb(ni=3,no=1_T2)'!D13,'30lb(ni=3,no=1_T3)'!D13)</f>
        <v>151.77260937774233</v>
      </c>
      <c r="G14" s="8">
        <f>_xlfn.STDEV.P('30lb(ni=3,no=1)_T1'!D13,'30lb(ni=3,no=1_T2)'!D13,'30lb(ni=3,no=1_T3)'!D13)</f>
        <v>6.411016982682809</v>
      </c>
      <c r="H14" s="7">
        <f>AVERAGE('30lb(ni=3,no=1)_T1'!E13,'30lb(ni=3,no=1_T2)'!E13,'30lb(ni=3,no=1_T3)'!E13)</f>
        <v>14.262479936157833</v>
      </c>
      <c r="I14" s="8">
        <f>_xlfn.STDEV.P('30lb(ni=3,no=1)_T1'!E13,'30lb(ni=3,no=1_T2)'!E13,'30lb(ni=3,no=1_T3)'!E13)</f>
        <v>0.69979625279141722</v>
      </c>
      <c r="J14" s="7">
        <f>AVERAGE('30lb(ni=3,no=1)_T1'!F13,'30lb(ni=3,no=1_T2)'!F13,'30lb(ni=3,no=1_T3)'!F13)</f>
        <v>11.171530503672832</v>
      </c>
      <c r="K14" s="8">
        <f>_xlfn.STDEV.P('30lb(ni=3,no=1)_T1'!F13,'30lb(ni=3,no=1_T2)'!F13,'30lb(ni=3,no=1_T3)'!F13)</f>
        <v>0.5707415425504162</v>
      </c>
    </row>
    <row r="15" spans="1:11" x14ac:dyDescent="0.25">
      <c r="A15" s="3">
        <f>AVERAGE('30lb(ni=3,no=1)_T1'!A14,'30lb(ni=3,no=1_T2)'!A14,'30lb(ni=3,no=1_T3)'!A14)</f>
        <v>223.237221627075</v>
      </c>
      <c r="B15" s="7">
        <f>AVERAGE('30lb(ni=3,no=1)_T1'!B14,'30lb(ni=3,no=1_T2)'!B14,'30lb(ni=3,no=1_T3)'!B14)</f>
        <v>0.26333333333333336</v>
      </c>
      <c r="C15" s="8">
        <f>_xlfn.STDEV.P('30lb(ni=3,no=1)_T1'!B14,'30lb(ni=3,no=1_T2)'!B14,'30lb(ni=3,no=1_T3)'!B14)</f>
        <v>0.11264496832477193</v>
      </c>
      <c r="D15" s="7">
        <f>AVERAGE('30lb(ni=3,no=1)_T1'!C14,'30lb(ni=3,no=1_T2)'!C14,'30lb(ni=3,no=1_T3)'!C14)</f>
        <v>36.306525284026463</v>
      </c>
      <c r="E15" s="8">
        <f>_xlfn.STDEV.P('30lb(ni=3,no=1)_T1'!C14,'30lb(ni=3,no=1_T2)'!C14,'30lb(ni=3,no=1_T3)'!C14)</f>
        <v>0.38240311464439292</v>
      </c>
      <c r="F15" s="7">
        <f>AVERAGE('30lb(ni=3,no=1)_T1'!D14,'30lb(ni=3,no=1_T2)'!D14,'30lb(ni=3,no=1_T3)'!D14)</f>
        <v>153.67092846292465</v>
      </c>
      <c r="G15" s="8">
        <f>_xlfn.STDEV.P('30lb(ni=3,no=1)_T1'!D14,'30lb(ni=3,no=1_T2)'!D14,'30lb(ni=3,no=1_T3)'!D14)</f>
        <v>5.676032234443622</v>
      </c>
      <c r="H15" s="7">
        <f>AVERAGE('30lb(ni=3,no=1)_T1'!E14,'30lb(ni=3,no=1_T2)'!E14,'30lb(ni=3,no=1_T3)'!E14)</f>
        <v>12.591718502367067</v>
      </c>
      <c r="I15" s="8">
        <f>_xlfn.STDEV.P('30lb(ni=3,no=1)_T1'!E14,'30lb(ni=3,no=1_T2)'!E14,'30lb(ni=3,no=1_T3)'!E14)</f>
        <v>0.37049443577766805</v>
      </c>
      <c r="J15" s="7">
        <f>AVERAGE('30lb(ni=3,no=1)_T1'!F14,'30lb(ni=3,no=1_T2)'!F14,'30lb(ni=3,no=1_T3)'!F14)</f>
        <v>9.5263360918987701</v>
      </c>
      <c r="K15" s="8">
        <f>_xlfn.STDEV.P('30lb(ni=3,no=1)_T1'!F14,'30lb(ni=3,no=1_T2)'!F14,'30lb(ni=3,no=1_T3)'!F14)</f>
        <v>0.62121375053131667</v>
      </c>
    </row>
    <row r="16" spans="1:11" x14ac:dyDescent="0.25">
      <c r="A16" s="3">
        <f>AVERAGE('30lb(ni=3,no=1)_T1'!A15,'30lb(ni=3,no=1_T2)'!A15,'30lb(ni=3,no=1_T3)'!A15)</f>
        <v>213.237221627075</v>
      </c>
      <c r="B16" s="7">
        <f>AVERAGE('30lb(ni=3,no=1)_T1'!B15,'30lb(ni=3,no=1_T2)'!B15,'30lb(ni=3,no=1_T3)'!B15)</f>
        <v>0.40333333333333332</v>
      </c>
      <c r="C16" s="8">
        <f>_xlfn.STDEV.P('30lb(ni=3,no=1)_T1'!B15,'30lb(ni=3,no=1_T2)'!B15,'30lb(ni=3,no=1_T3)'!B15)</f>
        <v>0.1761312641816388</v>
      </c>
      <c r="D16" s="7">
        <f>AVERAGE('30lb(ni=3,no=1)_T1'!C15,'30lb(ni=3,no=1_T2)'!C15,'30lb(ni=3,no=1_T3)'!C15)</f>
        <v>35.1804650397074</v>
      </c>
      <c r="E16" s="8">
        <f>_xlfn.STDEV.P('30lb(ni=3,no=1)_T1'!C15,'30lb(ni=3,no=1_T2)'!C15,'30lb(ni=3,no=1_T3)'!C15)</f>
        <v>0.80634615218375449</v>
      </c>
      <c r="F16" s="7">
        <f>AVERAGE('30lb(ni=3,no=1)_T1'!D15,'30lb(ni=3,no=1_T2)'!D15,'30lb(ni=3,no=1_T3)'!D15)</f>
        <v>155.50619681647768</v>
      </c>
      <c r="G16" s="8">
        <f>_xlfn.STDEV.P('30lb(ni=3,no=1)_T1'!D15,'30lb(ni=3,no=1_T2)'!D15,'30lb(ni=3,no=1_T3)'!D15)</f>
        <v>5.8996926623061077</v>
      </c>
      <c r="H16" s="7">
        <f>AVERAGE('30lb(ni=3,no=1)_T1'!E15,'30lb(ni=3,no=1_T2)'!E15,'30lb(ni=3,no=1_T3)'!E15)</f>
        <v>10.636294081072467</v>
      </c>
      <c r="I16" s="8">
        <f>_xlfn.STDEV.P('30lb(ni=3,no=1)_T1'!E15,'30lb(ni=3,no=1_T2)'!E15,'30lb(ni=3,no=1_T3)'!E15)</f>
        <v>0.77466048239989282</v>
      </c>
      <c r="J16" s="7">
        <f>AVERAGE('30lb(ni=3,no=1)_T1'!F15,'30lb(ni=3,no=1_T2)'!F15,'30lb(ni=3,no=1_T3)'!F15)</f>
        <v>8.2976978544909556</v>
      </c>
      <c r="K16" s="8">
        <f>_xlfn.STDEV.P('30lb(ni=3,no=1)_T1'!F15,'30lb(ni=3,no=1_T2)'!F15,'30lb(ni=3,no=1_T3)'!F15)</f>
        <v>0.71560245370392994</v>
      </c>
    </row>
    <row r="17" spans="1:11" x14ac:dyDescent="0.25">
      <c r="A17" s="3">
        <f>AVERAGE('30lb(ni=3,no=1)_T1'!A16,'30lb(ni=3,no=1_T2)'!A16,'30lb(ni=3,no=1_T3)'!A16)</f>
        <v>203.237221627075</v>
      </c>
      <c r="B17" s="7">
        <f>AVERAGE('30lb(ni=3,no=1)_T1'!B16,'30lb(ni=3,no=1_T2)'!B16,'30lb(ni=3,no=1_T3)'!B16)</f>
        <v>0.71</v>
      </c>
      <c r="C17" s="8">
        <f>_xlfn.STDEV.P('30lb(ni=3,no=1)_T1'!B16,'30lb(ni=3,no=1_T2)'!B16,'30lb(ni=3,no=1_T3)'!B16)</f>
        <v>0.33536050254415273</v>
      </c>
      <c r="D17" s="7">
        <f>AVERAGE('30lb(ni=3,no=1)_T1'!C16,'30lb(ni=3,no=1_T2)'!C16,'30lb(ni=3,no=1_T3)'!C16)</f>
        <v>32.360467076117899</v>
      </c>
      <c r="E17" s="8">
        <f>_xlfn.STDEV.P('30lb(ni=3,no=1)_T1'!C16,'30lb(ni=3,no=1_T2)'!C16,'30lb(ni=3,no=1_T3)'!C16)</f>
        <v>2.5735146530388979</v>
      </c>
      <c r="F17" s="7">
        <f>AVERAGE('30lb(ni=3,no=1)_T1'!D16,'30lb(ni=3,no=1_T2)'!D16,'30lb(ni=3,no=1_T3)'!D16)</f>
        <v>158.06157374019998</v>
      </c>
      <c r="G17" s="8">
        <f>_xlfn.STDEV.P('30lb(ni=3,no=1)_T1'!D16,'30lb(ni=3,no=1_T2)'!D16,'30lb(ni=3,no=1_T3)'!D16)</f>
        <v>5.7784711480125264</v>
      </c>
      <c r="H17" s="7">
        <f>AVERAGE('30lb(ni=3,no=1)_T1'!E16,'30lb(ni=3,no=1_T2)'!E16,'30lb(ni=3,no=1_T3)'!E16)</f>
        <v>8.2029332243782154</v>
      </c>
      <c r="I17" s="8">
        <f>_xlfn.STDEV.P('30lb(ni=3,no=1)_T1'!E16,'30lb(ni=3,no=1_T2)'!E16,'30lb(ni=3,no=1_T3)'!E16)</f>
        <v>1.1722712348363369</v>
      </c>
      <c r="J17" s="7">
        <f>AVERAGE('30lb(ni=3,no=1)_T1'!F16,'30lb(ni=3,no=1_T2)'!F16,'30lb(ni=3,no=1_T3)'!F16)</f>
        <v>7.0237986858519603</v>
      </c>
      <c r="K17" s="8">
        <f>_xlfn.STDEV.P('30lb(ni=3,no=1)_T1'!F16,'30lb(ni=3,no=1_T2)'!F16,'30lb(ni=3,no=1_T3)'!F16)</f>
        <v>0.76259378382270115</v>
      </c>
    </row>
    <row r="18" spans="1:11" x14ac:dyDescent="0.25">
      <c r="A18" s="3">
        <f>AVERAGE('30lb(ni=3,no=1)_T1'!A17,'30lb(ni=3,no=1_T2)'!A17,'30lb(ni=3,no=1_T3)'!A17)</f>
        <v>192.270808286023</v>
      </c>
      <c r="B18" s="7">
        <f>AVERAGE('30lb(ni=3,no=1)_T1'!B17,'30lb(ni=3,no=1_T2)'!B17,'30lb(ni=3,no=1_T3)'!B17)</f>
        <v>0.53499999999999992</v>
      </c>
      <c r="C18" s="8">
        <f>_xlfn.STDEV.P('30lb(ni=3,no=1)_T1'!B17,'30lb(ni=3,no=1_T2)'!B17,'30lb(ni=3,no=1_T3)'!B17)</f>
        <v>6.5000000000000696E-2</v>
      </c>
      <c r="D18" s="7">
        <f>AVERAGE('30lb(ni=3,no=1)_T1'!C17,'30lb(ni=3,no=1_T2)'!C17,'30lb(ni=3,no=1_T3)'!C17)</f>
        <v>30.192425043600899</v>
      </c>
      <c r="E18" s="8">
        <f>_xlfn.STDEV.P('30lb(ni=3,no=1)_T1'!C17,'30lb(ni=3,no=1_T2)'!C17,'30lb(ni=3,no=1_T3)'!C17)</f>
        <v>2.1058865820624018</v>
      </c>
      <c r="F18" s="7">
        <f>AVERAGE('30lb(ni=3,no=1)_T1'!D17,'30lb(ni=3,no=1_T2)'!D17,'30lb(ni=3,no=1_T3)'!D17)</f>
        <v>159.13761178522401</v>
      </c>
      <c r="G18" s="8">
        <f>_xlfn.STDEV.P('30lb(ni=3,no=1)_T1'!D17,'30lb(ni=3,no=1_T2)'!D17,'30lb(ni=3,no=1_T3)'!D17)</f>
        <v>4.9854651378529979</v>
      </c>
      <c r="H18" s="7">
        <f>AVERAGE('30lb(ni=3,no=1)_T1'!E17,'30lb(ni=3,no=1_T2)'!E17,'30lb(ni=3,no=1_T3)'!E17)</f>
        <v>7.2794730323945398</v>
      </c>
      <c r="I18" s="8">
        <f>_xlfn.STDEV.P('30lb(ni=3,no=1)_T1'!E17,'30lb(ni=3,no=1_T2)'!E17,'30lb(ni=3,no=1_T3)'!E17)</f>
        <v>0.80735764777912822</v>
      </c>
      <c r="J18" s="7">
        <f>AVERAGE('30lb(ni=3,no=1)_T1'!F17,'30lb(ni=3,no=1_T2)'!F17,'30lb(ni=3,no=1_T3)'!F17)</f>
        <v>6.26352369290142</v>
      </c>
      <c r="K18" s="8">
        <f>_xlfn.STDEV.P('30lb(ni=3,no=1)_T1'!F17,'30lb(ni=3,no=1_T2)'!F17,'30lb(ni=3,no=1_T3)'!F17)</f>
        <v>0.40198523136294018</v>
      </c>
    </row>
    <row r="19" spans="1:11" ht="15.75" thickBot="1" x14ac:dyDescent="0.3">
      <c r="A19" s="4">
        <f>AVERAGE('30lb(ni=3,no=1)_T1'!A18,'30lb(ni=3,no=1_T2)'!A18,'30lb(ni=3,no=1_T3)'!A18)</f>
        <v>182.270808286023</v>
      </c>
      <c r="B19" s="9">
        <f>AVERAGE('30lb(ni=3,no=1)_T1'!B18,'30lb(ni=3,no=1_T2)'!B18,'30lb(ni=3,no=1_T3)'!B18)</f>
        <v>0.80499999999999994</v>
      </c>
      <c r="C19" s="10">
        <f>_xlfn.STDEV.P('30lb(ni=3,no=1)_T1'!B18,'30lb(ni=3,no=1_T2)'!B18,'30lb(ni=3,no=1_T3)'!B18)</f>
        <v>7.5000000000000011E-2</v>
      </c>
      <c r="D19" s="9">
        <f>AVERAGE('30lb(ni=3,no=1)_T1'!C18,'30lb(ni=3,no=1_T2)'!C18,'30lb(ni=3,no=1_T3)'!C18)</f>
        <v>23.92904861961485</v>
      </c>
      <c r="E19" s="10">
        <f>_xlfn.STDEV.P('30lb(ni=3,no=1)_T1'!C18,'30lb(ni=3,no=1_T2)'!C18,'30lb(ni=3,no=1_T3)'!C18)</f>
        <v>1.8372975342313502</v>
      </c>
      <c r="F19" s="9">
        <f>AVERAGE('30lb(ni=3,no=1)_T1'!D18,'30lb(ni=3,no=1_T2)'!D18,'30lb(ni=3,no=1_T3)'!D18)</f>
        <v>158.0048487420685</v>
      </c>
      <c r="G19" s="10">
        <f>_xlfn.STDEV.P('30lb(ni=3,no=1)_T1'!D18,'30lb(ni=3,no=1_T2)'!D18,'30lb(ni=3,no=1_T3)'!D18)</f>
        <v>5.7518820271625088</v>
      </c>
      <c r="H19" s="9">
        <f>AVERAGE('30lb(ni=3,no=1)_T1'!E18,'30lb(ni=3,no=1_T2)'!E18,'30lb(ni=3,no=1_T3)'!E18)</f>
        <v>4.9304454710750054</v>
      </c>
      <c r="I19" s="10">
        <f>_xlfn.STDEV.P('30lb(ni=3,no=1)_T1'!E18,'30lb(ni=3,no=1_T2)'!E18,'30lb(ni=3,no=1_T3)'!E18)</f>
        <v>0.53429162492114257</v>
      </c>
      <c r="J19" s="9">
        <f>AVERAGE('30lb(ni=3,no=1)_T1'!F18,'30lb(ni=3,no=1_T2)'!F18,'30lb(ni=3,no=1_T3)'!F18)</f>
        <v>5.0584810660878095</v>
      </c>
      <c r="K19" s="10">
        <f>_xlfn.STDEV.P('30lb(ni=3,no=1)_T1'!F18,'30lb(ni=3,no=1_T2)'!F18,'30lb(ni=3,no=1_T3)'!F18)</f>
        <v>0.29598106608779018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3554-58AF-44F5-9DDD-5E7AA5F91285}">
  <dimension ref="A1:F16"/>
  <sheetViews>
    <sheetView workbookViewId="0">
      <selection activeCell="A2" sqref="A2:F16"/>
    </sheetView>
  </sheetViews>
  <sheetFormatPr defaultRowHeight="15" x14ac:dyDescent="0.25"/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345.17004830917898</v>
      </c>
      <c r="B2">
        <v>0</v>
      </c>
      <c r="C2">
        <v>41.8425120772947</v>
      </c>
      <c r="D2">
        <v>149.823188405797</v>
      </c>
      <c r="E2">
        <v>30.185507246376901</v>
      </c>
      <c r="F2">
        <v>193.260869565218</v>
      </c>
    </row>
    <row r="3" spans="1:6" x14ac:dyDescent="0.25">
      <c r="A3">
        <v>335.17004830917898</v>
      </c>
      <c r="B3">
        <v>0.01</v>
      </c>
      <c r="C3">
        <v>41.474396135265799</v>
      </c>
      <c r="D3">
        <v>151.05024154589401</v>
      </c>
      <c r="E3">
        <v>30.185507246376901</v>
      </c>
      <c r="F3">
        <v>156.57198067632899</v>
      </c>
    </row>
    <row r="4" spans="1:6" x14ac:dyDescent="0.25">
      <c r="A4">
        <v>325.17004830917898</v>
      </c>
      <c r="B4">
        <v>0.02</v>
      </c>
      <c r="C4">
        <v>41.351690821256099</v>
      </c>
      <c r="D4">
        <v>150.314009661836</v>
      </c>
      <c r="E4">
        <v>28.2222222222223</v>
      </c>
      <c r="F4">
        <v>98.286956521739299</v>
      </c>
    </row>
    <row r="5" spans="1:6" x14ac:dyDescent="0.25">
      <c r="A5">
        <v>315.17004830917898</v>
      </c>
      <c r="B5">
        <v>0.02</v>
      </c>
      <c r="C5">
        <v>41.106280193236799</v>
      </c>
      <c r="D5">
        <v>151.05024154589401</v>
      </c>
      <c r="E5">
        <v>24.909178743961402</v>
      </c>
      <c r="F5">
        <v>83.685024154589499</v>
      </c>
    </row>
    <row r="6" spans="1:6" x14ac:dyDescent="0.25">
      <c r="A6">
        <v>305.17004830917898</v>
      </c>
      <c r="B6">
        <v>0.03</v>
      </c>
      <c r="C6">
        <v>40.615458937198099</v>
      </c>
      <c r="D6">
        <v>151.17294685990399</v>
      </c>
      <c r="E6">
        <v>25.154589371980698</v>
      </c>
      <c r="F6">
        <v>61.966183574879302</v>
      </c>
    </row>
    <row r="7" spans="1:6" x14ac:dyDescent="0.25">
      <c r="A7">
        <v>295.17004830917898</v>
      </c>
      <c r="B7">
        <v>0.05</v>
      </c>
      <c r="C7">
        <v>39.879227053140198</v>
      </c>
      <c r="D7">
        <v>152.768115942029</v>
      </c>
      <c r="E7">
        <v>24.541062801932402</v>
      </c>
      <c r="F7">
        <v>43.192270531401</v>
      </c>
    </row>
    <row r="8" spans="1:6" x14ac:dyDescent="0.25">
      <c r="A8">
        <v>285.17004830917898</v>
      </c>
      <c r="B8">
        <v>0.06</v>
      </c>
      <c r="C8">
        <v>39.265700483091798</v>
      </c>
      <c r="D8">
        <v>153.13623188405799</v>
      </c>
      <c r="E8">
        <v>22.2096618357488</v>
      </c>
      <c r="F8">
        <v>33.253140096618402</v>
      </c>
    </row>
    <row r="9" spans="1:6" x14ac:dyDescent="0.25">
      <c r="A9">
        <v>275.17004830917898</v>
      </c>
      <c r="B9">
        <v>0.06</v>
      </c>
      <c r="C9">
        <v>38.652173913043498</v>
      </c>
      <c r="D9">
        <v>154.240579710145</v>
      </c>
      <c r="E9">
        <v>19.878260869565199</v>
      </c>
      <c r="F9">
        <v>26.504347826086999</v>
      </c>
    </row>
    <row r="10" spans="1:6" x14ac:dyDescent="0.25">
      <c r="A10">
        <v>265.17004830917898</v>
      </c>
      <c r="B10">
        <v>0.09</v>
      </c>
      <c r="C10">
        <v>38.284057971014498</v>
      </c>
      <c r="D10">
        <v>155.46763285024201</v>
      </c>
      <c r="E10">
        <v>19.632850241545899</v>
      </c>
      <c r="F10">
        <v>20.2463768115942</v>
      </c>
    </row>
    <row r="11" spans="1:6" x14ac:dyDescent="0.25">
      <c r="A11">
        <v>255.17004830917901</v>
      </c>
      <c r="B11">
        <v>0.12</v>
      </c>
      <c r="C11">
        <v>38.038647342995198</v>
      </c>
      <c r="D11">
        <v>156.57198067632899</v>
      </c>
      <c r="E11">
        <v>18.283091787439599</v>
      </c>
      <c r="F11">
        <v>16.319806763285001</v>
      </c>
    </row>
    <row r="12" spans="1:6" x14ac:dyDescent="0.25">
      <c r="A12">
        <v>245.17004830917901</v>
      </c>
      <c r="B12">
        <v>0.16</v>
      </c>
      <c r="C12">
        <v>37.915942028985597</v>
      </c>
      <c r="D12">
        <v>158.04444444444499</v>
      </c>
      <c r="E12">
        <v>17.056038647343001</v>
      </c>
      <c r="F12">
        <v>12.761352657004799</v>
      </c>
    </row>
    <row r="13" spans="1:6" x14ac:dyDescent="0.25">
      <c r="A13">
        <v>235.17004830917901</v>
      </c>
      <c r="B13">
        <v>0.36</v>
      </c>
      <c r="C13">
        <v>37.793236714975897</v>
      </c>
      <c r="D13">
        <v>158.535265700483</v>
      </c>
      <c r="E13">
        <v>15.2154589371981</v>
      </c>
      <c r="F13">
        <v>10.6753623188406</v>
      </c>
    </row>
    <row r="14" spans="1:6" x14ac:dyDescent="0.25">
      <c r="A14">
        <v>225.17004830917901</v>
      </c>
      <c r="B14">
        <v>0.42</v>
      </c>
      <c r="C14">
        <v>36.198067632850297</v>
      </c>
      <c r="D14">
        <v>159.88502415459001</v>
      </c>
      <c r="E14">
        <v>12.884057971014499</v>
      </c>
      <c r="F14">
        <v>8.8347826086956598</v>
      </c>
    </row>
    <row r="15" spans="1:6" x14ac:dyDescent="0.25">
      <c r="A15">
        <v>215.17004830917901</v>
      </c>
      <c r="B15">
        <v>0.65</v>
      </c>
      <c r="C15">
        <v>34.971014492753703</v>
      </c>
      <c r="D15">
        <v>161.23478260869601</v>
      </c>
      <c r="E15">
        <v>9.6937198067632995</v>
      </c>
      <c r="F15">
        <v>7.4850241545893796</v>
      </c>
    </row>
    <row r="16" spans="1:6" x14ac:dyDescent="0.25">
      <c r="A16">
        <v>205.17004830917901</v>
      </c>
      <c r="B16">
        <v>1.18</v>
      </c>
      <c r="C16">
        <v>28.8357487922706</v>
      </c>
      <c r="D16">
        <v>163.81159420289899</v>
      </c>
      <c r="E16">
        <v>6.6260869565217497</v>
      </c>
      <c r="F16">
        <v>6.0125603864734396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EE42-CB3E-40EF-9BAB-D399A7D7C3FD}">
  <dimension ref="A1:F18"/>
  <sheetViews>
    <sheetView workbookViewId="0">
      <selection activeCell="A2" sqref="A2:F18"/>
    </sheetView>
  </sheetViews>
  <sheetFormatPr defaultRowHeight="15" x14ac:dyDescent="0.25"/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343.63269230769401</v>
      </c>
      <c r="B2">
        <v>0</v>
      </c>
      <c r="C2">
        <v>42.374038461538603</v>
      </c>
      <c r="D2">
        <v>142.997115384616</v>
      </c>
      <c r="E2">
        <v>30.406730769230901</v>
      </c>
      <c r="F2">
        <v>100.50096153846199</v>
      </c>
    </row>
    <row r="3" spans="1:6" x14ac:dyDescent="0.25">
      <c r="A3">
        <v>333.63269230769401</v>
      </c>
      <c r="B3">
        <v>0.01</v>
      </c>
      <c r="C3">
        <v>42.251923076923198</v>
      </c>
      <c r="D3">
        <v>142.875</v>
      </c>
      <c r="E3">
        <v>26.376923076923202</v>
      </c>
      <c r="F3">
        <v>66.675000000000196</v>
      </c>
    </row>
    <row r="4" spans="1:6" x14ac:dyDescent="0.25">
      <c r="A4">
        <v>323.63269230769401</v>
      </c>
      <c r="B4">
        <v>0.02</v>
      </c>
      <c r="C4">
        <v>41.275000000000098</v>
      </c>
      <c r="D4">
        <v>143.97403846153901</v>
      </c>
      <c r="E4">
        <v>23.690384615384701</v>
      </c>
      <c r="F4">
        <v>58.737500000000203</v>
      </c>
    </row>
    <row r="5" spans="1:6" x14ac:dyDescent="0.25">
      <c r="A5">
        <v>313.63269230769401</v>
      </c>
      <c r="B5">
        <v>0.02</v>
      </c>
      <c r="C5">
        <v>40.908653846154003</v>
      </c>
      <c r="D5">
        <v>145.31730769230799</v>
      </c>
      <c r="E5">
        <v>22.713461538461601</v>
      </c>
      <c r="F5">
        <v>44.694230769230899</v>
      </c>
    </row>
    <row r="6" spans="1:6" x14ac:dyDescent="0.25">
      <c r="A6">
        <v>303.63269230769401</v>
      </c>
      <c r="B6">
        <v>0.03</v>
      </c>
      <c r="C6">
        <v>40.6644230769232</v>
      </c>
      <c r="D6">
        <v>144.706730769231</v>
      </c>
      <c r="E6">
        <v>21.492307692307801</v>
      </c>
      <c r="F6">
        <v>38.710576923076999</v>
      </c>
    </row>
    <row r="7" spans="1:6" x14ac:dyDescent="0.25">
      <c r="A7">
        <v>293.63269230769401</v>
      </c>
      <c r="B7">
        <v>0.04</v>
      </c>
      <c r="C7">
        <v>40.298076923076998</v>
      </c>
      <c r="D7">
        <v>145.43942307692399</v>
      </c>
      <c r="E7">
        <v>19.7826923076924</v>
      </c>
      <c r="F7">
        <v>30.773076923076999</v>
      </c>
    </row>
    <row r="8" spans="1:6" x14ac:dyDescent="0.25">
      <c r="A8">
        <v>283.63269230769401</v>
      </c>
      <c r="B8">
        <v>0.05</v>
      </c>
      <c r="C8">
        <v>39.321153846153997</v>
      </c>
      <c r="D8">
        <v>146.416346153847</v>
      </c>
      <c r="E8">
        <v>18.5615384615385</v>
      </c>
      <c r="F8">
        <v>25.7663461538462</v>
      </c>
    </row>
    <row r="9" spans="1:6" x14ac:dyDescent="0.25">
      <c r="A9">
        <v>273.63269230769401</v>
      </c>
      <c r="B9">
        <v>0.05</v>
      </c>
      <c r="C9">
        <v>38.466346153846303</v>
      </c>
      <c r="D9">
        <v>148.614423076924</v>
      </c>
      <c r="E9">
        <v>18.073076923077</v>
      </c>
      <c r="F9">
        <v>21.980769230769301</v>
      </c>
    </row>
    <row r="10" spans="1:6" x14ac:dyDescent="0.25">
      <c r="A10">
        <v>263.63269230769401</v>
      </c>
      <c r="B10">
        <v>0.06</v>
      </c>
      <c r="C10">
        <v>38.222115384615499</v>
      </c>
      <c r="D10">
        <v>149.22499999999999</v>
      </c>
      <c r="E10">
        <v>17.218269230769302</v>
      </c>
      <c r="F10">
        <v>21.492307692307801</v>
      </c>
    </row>
    <row r="11" spans="1:6" x14ac:dyDescent="0.25">
      <c r="A11">
        <v>253.63269230769399</v>
      </c>
      <c r="B11">
        <v>0.08</v>
      </c>
      <c r="C11">
        <v>37.123076923077001</v>
      </c>
      <c r="D11">
        <v>150.8125</v>
      </c>
      <c r="E11">
        <v>15.1423076923077</v>
      </c>
      <c r="F11">
        <v>15.2644230769231</v>
      </c>
    </row>
    <row r="12" spans="1:6" x14ac:dyDescent="0.25">
      <c r="A12">
        <v>243.63269230769399</v>
      </c>
      <c r="B12">
        <v>0.1</v>
      </c>
      <c r="C12">
        <v>36.512500000000102</v>
      </c>
      <c r="D12">
        <v>152.522115384616</v>
      </c>
      <c r="E12">
        <v>14.165384615384699</v>
      </c>
      <c r="F12">
        <v>12.577884615384701</v>
      </c>
    </row>
    <row r="13" spans="1:6" x14ac:dyDescent="0.25">
      <c r="A13">
        <v>233.63269230769399</v>
      </c>
      <c r="B13">
        <v>0.13</v>
      </c>
      <c r="C13">
        <v>36.268269230769299</v>
      </c>
      <c r="D13">
        <v>153.62115384615399</v>
      </c>
      <c r="E13">
        <v>13.554807692307699</v>
      </c>
      <c r="F13">
        <v>10.8682692307693</v>
      </c>
    </row>
    <row r="14" spans="1:6" x14ac:dyDescent="0.25">
      <c r="A14">
        <v>223.63269230769399</v>
      </c>
      <c r="B14">
        <v>0.21</v>
      </c>
      <c r="C14">
        <v>35.901923076923197</v>
      </c>
      <c r="D14">
        <v>154.96442307692399</v>
      </c>
      <c r="E14">
        <v>12.822115384615399</v>
      </c>
      <c r="F14">
        <v>9.4028846153846501</v>
      </c>
    </row>
    <row r="15" spans="1:6" x14ac:dyDescent="0.25">
      <c r="A15">
        <v>213.63269230769399</v>
      </c>
      <c r="B15">
        <v>0.31</v>
      </c>
      <c r="C15">
        <v>34.314423076923198</v>
      </c>
      <c r="D15">
        <v>157.89519230769301</v>
      </c>
      <c r="E15">
        <v>10.6240384615385</v>
      </c>
      <c r="F15">
        <v>8.1817307692307999</v>
      </c>
    </row>
    <row r="16" spans="1:6" x14ac:dyDescent="0.25">
      <c r="A16">
        <v>203.63269230769399</v>
      </c>
      <c r="B16">
        <v>0.53</v>
      </c>
      <c r="C16">
        <v>33.337500000000098</v>
      </c>
      <c r="D16">
        <v>160.21538461538501</v>
      </c>
      <c r="E16">
        <v>8.54807692307695</v>
      </c>
      <c r="F16">
        <v>7.2048076923077096</v>
      </c>
    </row>
    <row r="17" spans="1:6" x14ac:dyDescent="0.25">
      <c r="A17">
        <v>193.63269230769399</v>
      </c>
      <c r="B17">
        <v>0.6</v>
      </c>
      <c r="C17">
        <v>28.086538461538499</v>
      </c>
      <c r="D17">
        <v>164.12307692307701</v>
      </c>
      <c r="E17">
        <v>6.4721153846154102</v>
      </c>
      <c r="F17">
        <v>5.8615384615384798</v>
      </c>
    </row>
    <row r="18" spans="1:6" x14ac:dyDescent="0.25">
      <c r="A18">
        <v>183.63269230769399</v>
      </c>
      <c r="B18">
        <v>0.88</v>
      </c>
      <c r="C18">
        <v>25.7663461538462</v>
      </c>
      <c r="D18">
        <v>163.75673076923101</v>
      </c>
      <c r="E18">
        <v>4.3961538461538598</v>
      </c>
      <c r="F18">
        <v>4.7625000000000197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BB4D-1BE1-4D10-874F-C85F05D1FB9A}">
  <dimension ref="A1:F19"/>
  <sheetViews>
    <sheetView workbookViewId="0">
      <selection activeCell="A2" sqref="A2:F19"/>
    </sheetView>
  </sheetViews>
  <sheetFormatPr defaultRowHeight="15" x14ac:dyDescent="0.25"/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340.90892426435198</v>
      </c>
      <c r="B2">
        <v>0</v>
      </c>
      <c r="C2">
        <v>41.6471780028944</v>
      </c>
      <c r="D2">
        <v>136.789966232513</v>
      </c>
      <c r="E2">
        <v>31.3916063675833</v>
      </c>
      <c r="F2">
        <v>94.652677279305493</v>
      </c>
    </row>
    <row r="3" spans="1:6" x14ac:dyDescent="0.25">
      <c r="A3">
        <v>330.90892426435198</v>
      </c>
      <c r="B3">
        <v>0</v>
      </c>
      <c r="C3">
        <v>42.259816690786401</v>
      </c>
      <c r="D3">
        <v>135.368644476604</v>
      </c>
      <c r="E3">
        <v>29.651712493970098</v>
      </c>
      <c r="F3">
        <v>77.560057887120195</v>
      </c>
    </row>
    <row r="4" spans="1:6" x14ac:dyDescent="0.25">
      <c r="A4">
        <v>320.90892426435198</v>
      </c>
      <c r="B4">
        <v>0.01</v>
      </c>
      <c r="C4">
        <v>42.088277858176603</v>
      </c>
      <c r="D4">
        <v>135.062325132658</v>
      </c>
      <c r="E4">
        <v>27.3236854799807</v>
      </c>
      <c r="F4">
        <v>61.717221418234502</v>
      </c>
    </row>
    <row r="5" spans="1:6" x14ac:dyDescent="0.25">
      <c r="A5">
        <v>310.90892426435198</v>
      </c>
      <c r="B5">
        <v>0.02</v>
      </c>
      <c r="C5">
        <v>41.218330921370097</v>
      </c>
      <c r="D5">
        <v>136.69194404245101</v>
      </c>
      <c r="E5">
        <v>26.711046792088801</v>
      </c>
      <c r="F5">
        <v>49.513458755427003</v>
      </c>
    </row>
    <row r="6" spans="1:6" x14ac:dyDescent="0.25">
      <c r="A6">
        <v>300.90892426435198</v>
      </c>
      <c r="B6">
        <v>0.02</v>
      </c>
      <c r="C6">
        <v>40.532175590931097</v>
      </c>
      <c r="D6">
        <v>137.586396526773</v>
      </c>
      <c r="E6">
        <v>23.819392185238801</v>
      </c>
      <c r="F6">
        <v>39.588712011577499</v>
      </c>
    </row>
    <row r="7" spans="1:6" x14ac:dyDescent="0.25">
      <c r="A7">
        <v>290.90892426435198</v>
      </c>
      <c r="B7">
        <v>0.03</v>
      </c>
      <c r="C7">
        <v>39.968547998070498</v>
      </c>
      <c r="D7">
        <v>137.99073806078201</v>
      </c>
      <c r="E7">
        <v>22.422575976845199</v>
      </c>
      <c r="F7">
        <v>32.788422575976902</v>
      </c>
    </row>
    <row r="8" spans="1:6" x14ac:dyDescent="0.25">
      <c r="A8">
        <v>280.90892426435198</v>
      </c>
      <c r="B8">
        <v>0.04</v>
      </c>
      <c r="C8">
        <v>39.772503617945098</v>
      </c>
      <c r="D8">
        <v>137.95397973950799</v>
      </c>
      <c r="E8">
        <v>20.180318379160699</v>
      </c>
      <c r="F8">
        <v>28.144621321755999</v>
      </c>
    </row>
    <row r="9" spans="1:6" x14ac:dyDescent="0.25">
      <c r="A9">
        <v>270.90892426435198</v>
      </c>
      <c r="B9">
        <v>0.05</v>
      </c>
      <c r="C9">
        <v>39.649975880366704</v>
      </c>
      <c r="D9">
        <v>139.25277375783901</v>
      </c>
      <c r="E9">
        <v>19.530921369995198</v>
      </c>
      <c r="F9">
        <v>23.243511818620401</v>
      </c>
    </row>
    <row r="10" spans="1:6" x14ac:dyDescent="0.25">
      <c r="A10">
        <v>260.90892426435198</v>
      </c>
      <c r="B10">
        <v>0.08</v>
      </c>
      <c r="C10">
        <v>38.461456825856303</v>
      </c>
      <c r="D10">
        <v>141.61755909310199</v>
      </c>
      <c r="E10">
        <v>18.1341051616016</v>
      </c>
      <c r="F10">
        <v>19.677954655089302</v>
      </c>
    </row>
    <row r="11" spans="1:6" x14ac:dyDescent="0.25">
      <c r="A11">
        <v>250.90892426435201</v>
      </c>
      <c r="B11">
        <v>0.09</v>
      </c>
      <c r="C11">
        <v>37.885576459237903</v>
      </c>
      <c r="D11">
        <v>142.08316449590001</v>
      </c>
      <c r="E11">
        <v>14.5440424505548</v>
      </c>
      <c r="F11">
        <v>16.430969609262</v>
      </c>
    </row>
    <row r="12" spans="1:6" x14ac:dyDescent="0.25">
      <c r="A12">
        <v>240.90892426435201</v>
      </c>
      <c r="B12">
        <v>0.1</v>
      </c>
      <c r="C12">
        <v>37.199421128798903</v>
      </c>
      <c r="D12">
        <v>142.79382537385499</v>
      </c>
      <c r="E12">
        <v>15.977616980221899</v>
      </c>
      <c r="F12">
        <v>14.360250844187201</v>
      </c>
    </row>
    <row r="13" spans="1:6" x14ac:dyDescent="0.25">
      <c r="A13">
        <v>230.90892426435201</v>
      </c>
      <c r="B13">
        <v>0.14000000000000001</v>
      </c>
      <c r="C13">
        <v>37.027882296189198</v>
      </c>
      <c r="D13">
        <v>143.16140858659</v>
      </c>
      <c r="E13">
        <v>14.017173178967701</v>
      </c>
      <c r="F13">
        <v>11.9709599614086</v>
      </c>
    </row>
    <row r="14" spans="1:6" x14ac:dyDescent="0.25">
      <c r="A14">
        <v>220.90892426435201</v>
      </c>
      <c r="B14">
        <v>0.16</v>
      </c>
      <c r="C14">
        <v>36.819585142305897</v>
      </c>
      <c r="D14">
        <v>146.16333815726</v>
      </c>
      <c r="E14">
        <v>12.0689821514713</v>
      </c>
      <c r="F14">
        <v>10.341341051616</v>
      </c>
    </row>
    <row r="15" spans="1:6" x14ac:dyDescent="0.25">
      <c r="A15">
        <v>210.90892426435201</v>
      </c>
      <c r="B15">
        <v>0.25</v>
      </c>
      <c r="C15">
        <v>36.255957549445299</v>
      </c>
      <c r="D15">
        <v>147.388615533044</v>
      </c>
      <c r="E15">
        <v>11.5911239749156</v>
      </c>
      <c r="F15">
        <v>9.2263386396526901</v>
      </c>
    </row>
    <row r="16" spans="1:6" x14ac:dyDescent="0.25">
      <c r="A16">
        <v>200.90892426435201</v>
      </c>
      <c r="B16">
        <v>0.42</v>
      </c>
      <c r="C16">
        <v>34.908152436083</v>
      </c>
      <c r="D16">
        <v>150.15774240231599</v>
      </c>
      <c r="E16">
        <v>9.4346357935359499</v>
      </c>
      <c r="F16">
        <v>7.85402797877473</v>
      </c>
    </row>
    <row r="17" spans="1:6" x14ac:dyDescent="0.25">
      <c r="A17">
        <v>190.90892426435201</v>
      </c>
      <c r="B17">
        <v>0.47</v>
      </c>
      <c r="C17">
        <v>32.298311625663302</v>
      </c>
      <c r="D17">
        <v>154.15214664737101</v>
      </c>
      <c r="E17">
        <v>8.0868306801736694</v>
      </c>
      <c r="F17">
        <v>6.6655089242643601</v>
      </c>
    </row>
    <row r="18" spans="1:6" x14ac:dyDescent="0.25">
      <c r="A18">
        <v>180.90892426435201</v>
      </c>
      <c r="B18">
        <v>0.73</v>
      </c>
      <c r="C18">
        <v>22.0917510853835</v>
      </c>
      <c r="D18">
        <v>152.25296671490599</v>
      </c>
      <c r="E18">
        <v>5.4647370959961501</v>
      </c>
      <c r="F18">
        <v>5.3544621321756001</v>
      </c>
    </row>
    <row r="19" spans="1:6" x14ac:dyDescent="0.25">
      <c r="A19">
        <v>170.90892426435201</v>
      </c>
      <c r="B19">
        <v>0.9</v>
      </c>
      <c r="C19">
        <v>17.019102749638201</v>
      </c>
      <c r="D19">
        <v>155.487698986976</v>
      </c>
      <c r="E19">
        <v>4.5947901591895901</v>
      </c>
      <c r="F19">
        <v>4.0801736613603499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F951AE-E697-47A7-B9F9-3476C074C6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30lb(ni=3,no=1)_T1</vt:lpstr>
      <vt:lpstr>30lb(ni=3,no=1_T2)</vt:lpstr>
      <vt:lpstr>30lb(ni=3,no=1_T3)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Akibul Islam</dc:creator>
  <cp:lastModifiedBy>Md. Akibul Islam</cp:lastModifiedBy>
  <dcterms:created xsi:type="dcterms:W3CDTF">2026-05-13T18:13:26Z</dcterms:created>
  <dcterms:modified xsi:type="dcterms:W3CDTF">2026-05-19T19:16:48Z</dcterms:modified>
</cp:coreProperties>
</file>