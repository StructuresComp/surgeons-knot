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\UCLA\Knot\Test data - Modified\Surgeon Knot\With Standard Deviation\"/>
    </mc:Choice>
  </mc:AlternateContent>
  <xr:revisionPtr revIDLastSave="0" documentId="13_ncr:1_{D1842F0A-C0F1-40FC-91DA-569E3DC285BF}" xr6:coauthVersionLast="47" xr6:coauthVersionMax="47" xr10:uidLastSave="{00000000-0000-0000-0000-000000000000}"/>
  <bookViews>
    <workbookView xWindow="-120" yWindow="-120" windowWidth="29040" windowHeight="15720" xr2:uid="{778308DE-EE87-45D1-8653-0828AEFA584A}"/>
  </bookViews>
  <sheets>
    <sheet name="Summary" sheetId="5" r:id="rId1"/>
    <sheet name="30lb(ni=2,no=1)_T1 Marke" sheetId="1" r:id="rId2"/>
    <sheet name="30lb(ni=2,no=1_T2)" sheetId="4" r:id="rId3"/>
    <sheet name="30lb(ni=2,no=1_T3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F5904-2ED3-4DDC-AD85-FD7F0BB09138}" keepAlive="1" name="Query - 30lb(ni=1,no=1_T1)" description="Connection to the '30lb(ni=1,no=1_T1)' query in the workbook." type="5" refreshedVersion="0" background="1">
    <dbPr connection="Provider=Microsoft.Mashup.OleDb.1;Data Source=$Workbook$;Location=&quot;30lb(ni=1,no=1_T1)&quot;;Extended Properties=&quot;&quot;" command="SELECT * FROM [30lb(ni=1,no=1_T1)]"/>
  </connection>
</connections>
</file>

<file path=xl/sharedStrings.xml><?xml version="1.0" encoding="utf-8"?>
<sst xmlns="http://schemas.openxmlformats.org/spreadsheetml/2006/main" count="34" uniqueCount="8">
  <si>
    <t>F (N)</t>
  </si>
  <si>
    <t>L_bi (mm)</t>
  </si>
  <si>
    <t>L_li (mm)</t>
  </si>
  <si>
    <t>L_bo (mm)</t>
  </si>
  <si>
    <t>R_bi (mm)</t>
  </si>
  <si>
    <t>e(mm)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</si>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</sst>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157A-7AAC-411D-A08A-5424BB73013D}">
  <dimension ref="A1:K17"/>
  <sheetViews>
    <sheetView tabSelected="1" workbookViewId="0">
      <selection activeCell="N8" sqref="N8"/>
    </sheetView>
  </sheetViews>
  <sheetFormatPr defaultRowHeight="15" x14ac:dyDescent="0.25"/>
  <sheetData>
    <row r="1" spans="1:11" x14ac:dyDescent="0.25">
      <c r="A1" s="1" t="s">
        <v>5</v>
      </c>
      <c r="B1" s="5" t="s">
        <v>0</v>
      </c>
      <c r="C1" s="6"/>
      <c r="D1" s="5" t="s">
        <v>1</v>
      </c>
      <c r="E1" s="6"/>
      <c r="F1" s="5" t="s">
        <v>2</v>
      </c>
      <c r="G1" s="6"/>
      <c r="H1" s="5" t="s">
        <v>3</v>
      </c>
      <c r="I1" s="6"/>
      <c r="J1" s="5" t="s">
        <v>4</v>
      </c>
      <c r="K1" s="6"/>
    </row>
    <row r="2" spans="1:11" x14ac:dyDescent="0.25">
      <c r="A2" s="2"/>
      <c r="B2" s="7" t="s">
        <v>6</v>
      </c>
      <c r="C2" s="8" t="s">
        <v>7</v>
      </c>
      <c r="D2" s="7" t="s">
        <v>6</v>
      </c>
      <c r="E2" s="8" t="s">
        <v>7</v>
      </c>
      <c r="F2" s="7" t="s">
        <v>6</v>
      </c>
      <c r="G2" s="8" t="s">
        <v>7</v>
      </c>
      <c r="H2" s="7" t="s">
        <v>6</v>
      </c>
      <c r="I2" s="8" t="s">
        <v>7</v>
      </c>
      <c r="J2" s="7" t="s">
        <v>6</v>
      </c>
      <c r="K2" s="8" t="s">
        <v>7</v>
      </c>
    </row>
    <row r="3" spans="1:11" x14ac:dyDescent="0.25">
      <c r="A3" s="3">
        <f>AVERAGE('30lb(ni=2,no=1)_T1 Marke'!A2,'30lb(ni=2,no=1_T2)'!A2,'30lb(ni=2,no=1_T3)'!A2)</f>
        <v>345.75070377507899</v>
      </c>
      <c r="B3" s="9">
        <f>AVERAGE('30lb(ni=2,no=1)_T1 Marke'!B2,'30lb(ni=2,no=1_T2)'!B2,'30lb(ni=2,no=1_T3)'!B2)</f>
        <v>0</v>
      </c>
      <c r="C3" s="10">
        <f>_xlfn.STDEV.P('30lb(ni=2,no=1)_T1 Marke'!B2,'30lb(ni=2,no=1_T2)'!B2,'30lb(ni=2,no=1_T3)'!B2)</f>
        <v>0</v>
      </c>
      <c r="D3" s="9">
        <f>AVERAGE('30lb(ni=2,no=1)_T1 Marke'!C2,'30lb(ni=2,no=1_T2)'!C2,'30lb(ni=2,no=1_T3)'!C2)</f>
        <v>34.401212311705599</v>
      </c>
      <c r="E3" s="10">
        <f>_xlfn.STDEV.P('30lb(ni=2,no=1)_T1 Marke'!C2,'30lb(ni=2,no=1_T2)'!C2,'30lb(ni=2,no=1_T3)'!C2)</f>
        <v>2.3770919507620092</v>
      </c>
      <c r="F3" s="9">
        <f>AVERAGE('30lb(ni=2,no=1)_T1 Marke'!D2,'30lb(ni=2,no=1_T2)'!D2,'30lb(ni=2,no=1_T3)'!D2)</f>
        <v>169.72969677270399</v>
      </c>
      <c r="G3" s="10">
        <f>_xlfn.STDEV.P('30lb(ni=2,no=1)_T1 Marke'!D2,'30lb(ni=2,no=1_T2)'!D2,'30lb(ni=2,no=1_T3)'!D2)</f>
        <v>25.907221477056115</v>
      </c>
      <c r="H3" s="9">
        <f>AVERAGE('30lb(ni=2,no=1)_T1 Marke'!E2,'30lb(ni=2,no=1_T2)'!E2,'30lb(ni=2,no=1_T3)'!E2)</f>
        <v>25.402444466794833</v>
      </c>
      <c r="I3" s="10">
        <f>_xlfn.STDEV.P('30lb(ni=2,no=1)_T1 Marke'!E2,'30lb(ni=2,no=1_T2)'!E2,'30lb(ni=2,no=1_T3)'!E2)</f>
        <v>1.9340577824098706</v>
      </c>
      <c r="J3" s="9">
        <f>AVERAGE('30lb(ni=2,no=1)_T1 Marke'!F2,'30lb(ni=2,no=1_T2)'!F2,'30lb(ni=2,no=1_T3)'!F2)</f>
        <v>91.970521179959846</v>
      </c>
      <c r="K3" s="10">
        <f>_xlfn.STDEV.P('30lb(ni=2,no=1)_T1 Marke'!F2,'30lb(ni=2,no=1_T2)'!F2,'30lb(ni=2,no=1_T3)'!F2)</f>
        <v>35.608691766463814</v>
      </c>
    </row>
    <row r="4" spans="1:11" x14ac:dyDescent="0.25">
      <c r="A4" s="3">
        <f>AVERAGE('30lb(ni=2,no=1)_T1 Marke'!A3,'30lb(ni=2,no=1_T2)'!A3,'30lb(ni=2,no=1_T3)'!A3)</f>
        <v>335.75070377507899</v>
      </c>
      <c r="B4" s="9">
        <f>AVERAGE('30lb(ni=2,no=1)_T1 Marke'!B3,'30lb(ni=2,no=1_T2)'!B3,'30lb(ni=2,no=1_T3)'!B3)</f>
        <v>2.6666666666666668E-2</v>
      </c>
      <c r="C4" s="10">
        <f>_xlfn.STDEV.P('30lb(ni=2,no=1)_T1 Marke'!B3,'30lb(ni=2,no=1_T2)'!B3,'30lb(ni=2,no=1_T3)'!B3)</f>
        <v>3.771236166328254E-2</v>
      </c>
      <c r="D4" s="9">
        <f>AVERAGE('30lb(ni=2,no=1)_T1 Marke'!C3,'30lb(ni=2,no=1_T2)'!C3,'30lb(ni=2,no=1_T3)'!C3)</f>
        <v>33.755306775079397</v>
      </c>
      <c r="E4" s="10">
        <f>_xlfn.STDEV.P('30lb(ni=2,no=1)_T1 Marke'!C3,'30lb(ni=2,no=1_T2)'!C3,'30lb(ni=2,no=1_T3)'!C3)</f>
        <v>2.4948534896764438</v>
      </c>
      <c r="F4" s="9">
        <f>AVERAGE('30lb(ni=2,no=1)_T1 Marke'!D3,'30lb(ni=2,no=1_T2)'!D3,'30lb(ni=2,no=1_T3)'!D3)</f>
        <v>170.43044376956701</v>
      </c>
      <c r="G4" s="10">
        <f>_xlfn.STDEV.P('30lb(ni=2,no=1)_T1 Marke'!D3,'30lb(ni=2,no=1_T2)'!D3,'30lb(ni=2,no=1_T3)'!D3)</f>
        <v>26.691768707596076</v>
      </c>
      <c r="H4" s="9">
        <f>AVERAGE('30lb(ni=2,no=1)_T1 Marke'!E3,'30lb(ni=2,no=1_T2)'!E3,'30lb(ni=2,no=1_T3)'!E3)</f>
        <v>23.614983468116037</v>
      </c>
      <c r="I4" s="10">
        <f>_xlfn.STDEV.P('30lb(ni=2,no=1)_T1 Marke'!E3,'30lb(ni=2,no=1_T2)'!E3,'30lb(ni=2,no=1_T3)'!E3)</f>
        <v>2.4271147986696548</v>
      </c>
      <c r="J4" s="9">
        <f>AVERAGE('30lb(ni=2,no=1)_T1 Marke'!F3,'30lb(ni=2,no=1_T2)'!F3,'30lb(ni=2,no=1_T3)'!F3)</f>
        <v>73.994438978655083</v>
      </c>
      <c r="K4" s="10">
        <f>_xlfn.STDEV.P('30lb(ni=2,no=1)_T1 Marke'!F3,'30lb(ni=2,no=1_T2)'!F3,'30lb(ni=2,no=1_T3)'!F3)</f>
        <v>21.689039298824643</v>
      </c>
    </row>
    <row r="5" spans="1:11" x14ac:dyDescent="0.25">
      <c r="A5" s="3">
        <f>AVERAGE('30lb(ni=2,no=1)_T1 Marke'!A4,'30lb(ni=2,no=1_T2)'!A4,'30lb(ni=2,no=1_T3)'!A4)</f>
        <v>325.75070377507899</v>
      </c>
      <c r="B5" s="9">
        <f>AVERAGE('30lb(ni=2,no=1)_T1 Marke'!B4,'30lb(ni=2,no=1_T2)'!B4,'30lb(ni=2,no=1_T3)'!B4)</f>
        <v>6.3333333333333339E-2</v>
      </c>
      <c r="C5" s="10">
        <f>_xlfn.STDEV.P('30lb(ni=2,no=1)_T1 Marke'!B4,'30lb(ni=2,no=1_T2)'!B4,'30lb(ni=2,no=1_T3)'!B4)</f>
        <v>8.9566858950296036E-2</v>
      </c>
      <c r="D5" s="9">
        <f>AVERAGE('30lb(ni=2,no=1)_T1 Marke'!C4,'30lb(ni=2,no=1_T2)'!C4,'30lb(ni=2,no=1_T3)'!C4)</f>
        <v>33.288330860945265</v>
      </c>
      <c r="E5" s="10">
        <f>_xlfn.STDEV.P('30lb(ni=2,no=1)_T1 Marke'!C4,'30lb(ni=2,no=1_T2)'!C4,'30lb(ni=2,no=1_T3)'!C4)</f>
        <v>2.5826658940622167</v>
      </c>
      <c r="F5" s="9">
        <f>AVERAGE('30lb(ni=2,no=1)_T1 Marke'!D4,'30lb(ni=2,no=1_T2)'!D4,'30lb(ni=2,no=1_T3)'!D4)</f>
        <v>171.27660547750335</v>
      </c>
      <c r="G5" s="10">
        <f>_xlfn.STDEV.P('30lb(ni=2,no=1)_T1 Marke'!D4,'30lb(ni=2,no=1_T2)'!D4,'30lb(ni=2,no=1_T3)'!D4)</f>
        <v>25.520125446294859</v>
      </c>
      <c r="H5" s="9">
        <f>AVERAGE('30lb(ni=2,no=1)_T1 Marke'!E4,'30lb(ni=2,no=1_T2)'!E4,'30lb(ni=2,no=1_T3)'!E4)</f>
        <v>23.416221748995337</v>
      </c>
      <c r="I5" s="10">
        <f>_xlfn.STDEV.P('30lb(ni=2,no=1)_T1 Marke'!E4,'30lb(ni=2,no=1_T2)'!E4,'30lb(ni=2,no=1_T3)'!E4)</f>
        <v>2.2701975085068153</v>
      </c>
      <c r="J5" s="9">
        <f>AVERAGE('30lb(ni=2,no=1)_T1 Marke'!F4,'30lb(ni=2,no=1_T2)'!F4,'30lb(ni=2,no=1_T3)'!F4)</f>
        <v>65.212435570445138</v>
      </c>
      <c r="K5" s="10">
        <f>_xlfn.STDEV.P('30lb(ni=2,no=1)_T1 Marke'!F4,'30lb(ni=2,no=1_T2)'!F4,'30lb(ni=2,no=1_T3)'!F4)</f>
        <v>19.844190720438419</v>
      </c>
    </row>
    <row r="6" spans="1:11" x14ac:dyDescent="0.25">
      <c r="A6" s="3">
        <f>AVERAGE('30lb(ni=2,no=1)_T1 Marke'!A5,'30lb(ni=2,no=1_T2)'!A5,'30lb(ni=2,no=1_T3)'!A5)</f>
        <v>315.75070377507899</v>
      </c>
      <c r="B6" s="9">
        <f>AVERAGE('30lb(ni=2,no=1)_T1 Marke'!B5,'30lb(ni=2,no=1_T2)'!B5,'30lb(ni=2,no=1_T3)'!B5)</f>
        <v>5.6666666666666671E-2</v>
      </c>
      <c r="C6" s="10">
        <f>_xlfn.STDEV.P('30lb(ni=2,no=1)_T1 Marke'!B5,'30lb(ni=2,no=1_T2)'!B5,'30lb(ni=2,no=1_T3)'!B5)</f>
        <v>8.0138768534475394E-2</v>
      </c>
      <c r="D6" s="9">
        <f>AVERAGE('30lb(ni=2,no=1)_T1 Marke'!C5,'30lb(ni=2,no=1_T2)'!C5,'30lb(ni=2,no=1_T3)'!C5)</f>
        <v>32.759384202672635</v>
      </c>
      <c r="E6" s="10">
        <f>_xlfn.STDEV.P('30lb(ni=2,no=1)_T1 Marke'!C5,'30lb(ni=2,no=1_T2)'!C5,'30lb(ni=2,no=1_T3)'!C5)</f>
        <v>2.743724368709159</v>
      </c>
      <c r="F6" s="9">
        <f>AVERAGE('30lb(ni=2,no=1)_T1 Marke'!D5,'30lb(ni=2,no=1_T2)'!D5,'30lb(ni=2,no=1_T3)'!D5)</f>
        <v>171.65742801207799</v>
      </c>
      <c r="G6" s="10">
        <f>_xlfn.STDEV.P('30lb(ni=2,no=1)_T1 Marke'!D5,'30lb(ni=2,no=1_T2)'!D5,'30lb(ni=2,no=1_T3)'!D5)</f>
        <v>25.2955491397427</v>
      </c>
      <c r="H6" s="9">
        <f>AVERAGE('30lb(ni=2,no=1)_T1 Marke'!E5,'30lb(ni=2,no=1_T2)'!E5,'30lb(ni=2,no=1_T3)'!E5)</f>
        <v>22.535968656021737</v>
      </c>
      <c r="I6" s="10">
        <f>_xlfn.STDEV.P('30lb(ni=2,no=1)_T1 Marke'!E5,'30lb(ni=2,no=1_T2)'!E5,'30lb(ni=2,no=1_T3)'!E5)</f>
        <v>2.318497474980088</v>
      </c>
      <c r="J6" s="9">
        <f>AVERAGE('30lb(ni=2,no=1)_T1 Marke'!F5,'30lb(ni=2,no=1_T2)'!F5,'30lb(ni=2,no=1_T3)'!F5)</f>
        <v>53.787607773817506</v>
      </c>
      <c r="K6" s="10">
        <f>_xlfn.STDEV.P('30lb(ni=2,no=1)_T1 Marke'!F5,'30lb(ni=2,no=1_T2)'!F5,'30lb(ni=2,no=1_T3)'!F5)</f>
        <v>13.22284781409552</v>
      </c>
    </row>
    <row r="7" spans="1:11" x14ac:dyDescent="0.25">
      <c r="A7" s="3">
        <f>AVERAGE('30lb(ni=2,no=1)_T1 Marke'!A6,'30lb(ni=2,no=1_T2)'!A6,'30lb(ni=2,no=1_T3)'!A6)</f>
        <v>305.75070377507899</v>
      </c>
      <c r="B7" s="9">
        <f>AVERAGE('30lb(ni=2,no=1)_T1 Marke'!B6,'30lb(ni=2,no=1_T2)'!B6,'30lb(ni=2,no=1_T3)'!B6)</f>
        <v>8.3333333333333329E-2</v>
      </c>
      <c r="C7" s="10">
        <f>_xlfn.STDEV.P('30lb(ni=2,no=1)_T1 Marke'!B6,'30lb(ni=2,no=1_T2)'!B6,'30lb(ni=2,no=1_T3)'!B6)</f>
        <v>7.4087035902976231E-2</v>
      </c>
      <c r="D7" s="9">
        <f>AVERAGE('30lb(ni=2,no=1)_T1 Marke'!C6,'30lb(ni=2,no=1_T2)'!C6,'30lb(ni=2,no=1_T3)'!C6)</f>
        <v>32.068905701976298</v>
      </c>
      <c r="E7" s="10">
        <f>_xlfn.STDEV.P('30lb(ni=2,no=1)_T1 Marke'!C6,'30lb(ni=2,no=1_T2)'!C6,'30lb(ni=2,no=1_T3)'!C6)</f>
        <v>3.1010536341126835</v>
      </c>
      <c r="F7" s="9">
        <f>AVERAGE('30lb(ni=2,no=1)_T1 Marke'!D6,'30lb(ni=2,no=1_T2)'!D6,'30lb(ni=2,no=1_T3)'!D6)</f>
        <v>171.63253682645666</v>
      </c>
      <c r="G7" s="10">
        <f>_xlfn.STDEV.P('30lb(ni=2,no=1)_T1 Marke'!D6,'30lb(ni=2,no=1_T2)'!D6,'30lb(ni=2,no=1_T3)'!D6)</f>
        <v>25.01392743590473</v>
      </c>
      <c r="H7" s="9">
        <f>AVERAGE('30lb(ni=2,no=1)_T1 Marke'!E6,'30lb(ni=2,no=1_T2)'!E6,'30lb(ni=2,no=1_T3)'!E6)</f>
        <v>22.06849362005693</v>
      </c>
      <c r="I7" s="10">
        <f>_xlfn.STDEV.P('30lb(ni=2,no=1)_T1 Marke'!E6,'30lb(ni=2,no=1_T2)'!E6,'30lb(ni=2,no=1_T3)'!E6)</f>
        <v>2.1713209307762233</v>
      </c>
      <c r="J7" s="9">
        <f>AVERAGE('30lb(ni=2,no=1)_T1 Marke'!F6,'30lb(ni=2,no=1_T2)'!F6,'30lb(ni=2,no=1_T3)'!F6)</f>
        <v>44.179193006822139</v>
      </c>
      <c r="K7" s="10">
        <f>_xlfn.STDEV.P('30lb(ni=2,no=1)_T1 Marke'!F6,'30lb(ni=2,no=1_T2)'!F6,'30lb(ni=2,no=1_T3)'!F6)</f>
        <v>10.099177157668221</v>
      </c>
    </row>
    <row r="8" spans="1:11" x14ac:dyDescent="0.25">
      <c r="A8" s="3">
        <f>AVERAGE('30lb(ni=2,no=1)_T1 Marke'!A7,'30lb(ni=2,no=1_T2)'!A7,'30lb(ni=2,no=1_T3)'!A7)</f>
        <v>295.75070377507899</v>
      </c>
      <c r="B8" s="9">
        <f>AVERAGE('30lb(ni=2,no=1)_T1 Marke'!B7,'30lb(ni=2,no=1_T2)'!B7,'30lb(ni=2,no=1_T3)'!B7)</f>
        <v>9.0000000000000011E-2</v>
      </c>
      <c r="C8" s="10">
        <f>_xlfn.STDEV.P('30lb(ni=2,no=1)_T1 Marke'!B7,'30lb(ni=2,no=1_T2)'!B7,'30lb(ni=2,no=1_T3)'!B7)</f>
        <v>7.7888809636986148E-2</v>
      </c>
      <c r="D8" s="9">
        <f>AVERAGE('30lb(ni=2,no=1)_T1 Marke'!C7,'30lb(ni=2,no=1_T2)'!C7,'30lb(ni=2,no=1_T3)'!C7)</f>
        <v>31.024843335997968</v>
      </c>
      <c r="E8" s="10">
        <f>_xlfn.STDEV.P('30lb(ni=2,no=1)_T1 Marke'!C7,'30lb(ni=2,no=1_T2)'!C7,'30lb(ni=2,no=1_T3)'!C7)</f>
        <v>3.6001246116341528</v>
      </c>
      <c r="F8" s="9">
        <f>AVERAGE('30lb(ni=2,no=1)_T1 Marke'!D7,'30lb(ni=2,no=1_T2)'!D7,'30lb(ni=2,no=1_T3)'!D7)</f>
        <v>172.65563385196535</v>
      </c>
      <c r="G8" s="10">
        <f>_xlfn.STDEV.P('30lb(ni=2,no=1)_T1 Marke'!D7,'30lb(ni=2,no=1_T2)'!D7,'30lb(ni=2,no=1_T3)'!D7)</f>
        <v>24.88388033704712</v>
      </c>
      <c r="H8" s="9">
        <f>AVERAGE('30lb(ni=2,no=1)_T1 Marke'!E7,'30lb(ni=2,no=1_T2)'!E7,'30lb(ni=2,no=1_T3)'!E7)</f>
        <v>20.625711817604898</v>
      </c>
      <c r="I8" s="10">
        <f>_xlfn.STDEV.P('30lb(ni=2,no=1)_T1 Marke'!E7,'30lb(ni=2,no=1_T2)'!E7,'30lb(ni=2,no=1_T3)'!E7)</f>
        <v>2.9914764312626487</v>
      </c>
      <c r="J8" s="9">
        <f>AVERAGE('30lb(ni=2,no=1)_T1 Marke'!F7,'30lb(ni=2,no=1_T2)'!F7,'30lb(ni=2,no=1_T3)'!F7)</f>
        <v>36.433141206532689</v>
      </c>
      <c r="K8" s="10">
        <f>_xlfn.STDEV.P('30lb(ni=2,no=1)_T1 Marke'!F7,'30lb(ni=2,no=1_T2)'!F7,'30lb(ni=2,no=1_T3)'!F7)</f>
        <v>10.656643350995306</v>
      </c>
    </row>
    <row r="9" spans="1:11" x14ac:dyDescent="0.25">
      <c r="A9" s="3">
        <f>AVERAGE('30lb(ni=2,no=1)_T1 Marke'!A8,'30lb(ni=2,no=1_T2)'!A8,'30lb(ni=2,no=1_T3)'!A8)</f>
        <v>285.75070377507899</v>
      </c>
      <c r="B9" s="9">
        <f>AVERAGE('30lb(ni=2,no=1)_T1 Marke'!B8,'30lb(ni=2,no=1_T2)'!B8,'30lb(ni=2,no=1_T3)'!B8)</f>
        <v>0.12</v>
      </c>
      <c r="C9" s="10">
        <f>_xlfn.STDEV.P('30lb(ni=2,no=1)_T1 Marke'!B8,'30lb(ni=2,no=1_T2)'!B8,'30lb(ni=2,no=1_T3)'!B8)</f>
        <v>4.9665548085837827E-2</v>
      </c>
      <c r="D9" s="9">
        <f>AVERAGE('30lb(ni=2,no=1)_T1 Marke'!C8,'30lb(ni=2,no=1_T2)'!C8,'30lb(ni=2,no=1_T3)'!C8)</f>
        <v>29.625199155616432</v>
      </c>
      <c r="E9" s="10">
        <f>_xlfn.STDEV.P('30lb(ni=2,no=1)_T1 Marke'!C8,'30lb(ni=2,no=1_T2)'!C8,'30lb(ni=2,no=1_T3)'!C8)</f>
        <v>4.011265496730994</v>
      </c>
      <c r="F9" s="9">
        <f>AVERAGE('30lb(ni=2,no=1)_T1 Marke'!D8,'30lb(ni=2,no=1_T2)'!D8,'30lb(ni=2,no=1_T3)'!D8)</f>
        <v>173.28970055024669</v>
      </c>
      <c r="G9" s="10">
        <f>_xlfn.STDEV.P('30lb(ni=2,no=1)_T1 Marke'!D8,'30lb(ni=2,no=1_T2)'!D8,'30lb(ni=2,no=1_T3)'!D8)</f>
        <v>24.789419135217031</v>
      </c>
      <c r="H9" s="9">
        <f>AVERAGE('30lb(ni=2,no=1)_T1 Marke'!E8,'30lb(ni=2,no=1_T2)'!E8,'30lb(ni=2,no=1_T3)'!E8)</f>
        <v>20.147536293135669</v>
      </c>
      <c r="I9" s="10">
        <f>_xlfn.STDEV.P('30lb(ni=2,no=1)_T1 Marke'!E8,'30lb(ni=2,no=1_T2)'!E8,'30lb(ni=2,no=1_T3)'!E8)</f>
        <v>2.7869323806542843</v>
      </c>
      <c r="J9" s="9">
        <f>AVERAGE('30lb(ni=2,no=1)_T1 Marke'!F8,'30lb(ni=2,no=1_T2)'!F8,'30lb(ni=2,no=1_T3)'!F8)</f>
        <v>31.075886631974367</v>
      </c>
      <c r="K9" s="10">
        <f>_xlfn.STDEV.P('30lb(ni=2,no=1)_T1 Marke'!F8,'30lb(ni=2,no=1_T2)'!F8,'30lb(ni=2,no=1_T3)'!F8)</f>
        <v>9.8070535479559595</v>
      </c>
    </row>
    <row r="10" spans="1:11" x14ac:dyDescent="0.25">
      <c r="A10" s="3">
        <f>AVERAGE('30lb(ni=2,no=1)_T1 Marke'!A9,'30lb(ni=2,no=1_T2)'!A9,'30lb(ni=2,no=1_T3)'!A9)</f>
        <v>275.75070377507899</v>
      </c>
      <c r="B10" s="9">
        <f>AVERAGE('30lb(ni=2,no=1)_T1 Marke'!B9,'30lb(ni=2,no=1_T2)'!B9,'30lb(ni=2,no=1_T3)'!B9)</f>
        <v>0.14666666666666667</v>
      </c>
      <c r="C10" s="10">
        <f>_xlfn.STDEV.P('30lb(ni=2,no=1)_T1 Marke'!B9,'30lb(ni=2,no=1_T2)'!B9,'30lb(ni=2,no=1_T3)'!B9)</f>
        <v>3.0912061651652341E-2</v>
      </c>
      <c r="D10" s="9">
        <f>AVERAGE('30lb(ni=2,no=1)_T1 Marke'!C9,'30lb(ni=2,no=1_T2)'!C9,'30lb(ni=2,no=1_T3)'!C9)</f>
        <v>28.726833164574799</v>
      </c>
      <c r="E10" s="10">
        <f>_xlfn.STDEV.P('30lb(ni=2,no=1)_T1 Marke'!C9,'30lb(ni=2,no=1_T2)'!C9,'30lb(ni=2,no=1_T3)'!C9)</f>
        <v>4.3186726859114772</v>
      </c>
      <c r="F10" s="9">
        <f>AVERAGE('30lb(ni=2,no=1)_T1 Marke'!D9,'30lb(ni=2,no=1_T2)'!D9,'30lb(ni=2,no=1_T3)'!D9)</f>
        <v>173.78306647729232</v>
      </c>
      <c r="G10" s="10">
        <f>_xlfn.STDEV.P('30lb(ni=2,no=1)_T1 Marke'!D9,'30lb(ni=2,no=1_T2)'!D9,'30lb(ni=2,no=1_T3)'!D9)</f>
        <v>24.914177227644981</v>
      </c>
      <c r="H10" s="9">
        <f>AVERAGE('30lb(ni=2,no=1)_T1 Marke'!E9,'30lb(ni=2,no=1_T2)'!E9,'30lb(ni=2,no=1_T3)'!E9)</f>
        <v>18.706388318153333</v>
      </c>
      <c r="I10" s="10">
        <f>_xlfn.STDEV.P('30lb(ni=2,no=1)_T1 Marke'!E9,'30lb(ni=2,no=1_T2)'!E9,'30lb(ni=2,no=1_T3)'!E9)</f>
        <v>2.6990568254692144</v>
      </c>
      <c r="J10" s="9">
        <f>AVERAGE('30lb(ni=2,no=1)_T1 Marke'!F9,'30lb(ni=2,no=1_T2)'!F9,'30lb(ni=2,no=1_T3)'!F9)</f>
        <v>26.860041576389438</v>
      </c>
      <c r="K10" s="10">
        <f>_xlfn.STDEV.P('30lb(ni=2,no=1)_T1 Marke'!F9,'30lb(ni=2,no=1_T2)'!F9,'30lb(ni=2,no=1_T3)'!F9)</f>
        <v>8.7419666947263401</v>
      </c>
    </row>
    <row r="11" spans="1:11" x14ac:dyDescent="0.25">
      <c r="A11" s="3">
        <f>AVERAGE('30lb(ni=2,no=1)_T1 Marke'!A10,'30lb(ni=2,no=1_T2)'!A10,'30lb(ni=2,no=1_T3)'!A10)</f>
        <v>265.75070377507899</v>
      </c>
      <c r="B11" s="9">
        <f>AVERAGE('30lb(ni=2,no=1)_T1 Marke'!B10,'30lb(ni=2,no=1_T2)'!B10,'30lb(ni=2,no=1_T3)'!B10)</f>
        <v>0.16333333333333333</v>
      </c>
      <c r="C11" s="10">
        <f>_xlfn.STDEV.P('30lb(ni=2,no=1)_T1 Marke'!B10,'30lb(ni=2,no=1_T2)'!B10,'30lb(ni=2,no=1_T3)'!B10)</f>
        <v>2.6246692913372786E-2</v>
      </c>
      <c r="D11" s="9">
        <f>AVERAGE('30lb(ni=2,no=1)_T1 Marke'!C10,'30lb(ni=2,no=1_T2)'!C10,'30lb(ni=2,no=1_T3)'!C10)</f>
        <v>27.708657314576968</v>
      </c>
      <c r="E11" s="10">
        <f>_xlfn.STDEV.P('30lb(ni=2,no=1)_T1 Marke'!C10,'30lb(ni=2,no=1_T2)'!C10,'30lb(ni=2,no=1_T3)'!C10)</f>
        <v>3.9381288506671646</v>
      </c>
      <c r="F11" s="9">
        <f>AVERAGE('30lb(ni=2,no=1)_T1 Marke'!D10,'30lb(ni=2,no=1_T2)'!D10,'30lb(ni=2,no=1_T3)'!D10)</f>
        <v>175.118236274785</v>
      </c>
      <c r="G11" s="10">
        <f>_xlfn.STDEV.P('30lb(ni=2,no=1)_T1 Marke'!D10,'30lb(ni=2,no=1_T2)'!D10,'30lb(ni=2,no=1_T3)'!D10)</f>
        <v>24.569126358111003</v>
      </c>
      <c r="H11" s="9">
        <f>AVERAGE('30lb(ni=2,no=1)_T1 Marke'!E10,'30lb(ni=2,no=1_T2)'!E10,'30lb(ni=2,no=1_T3)'!E10)</f>
        <v>18.565400766760899</v>
      </c>
      <c r="I11" s="10">
        <f>_xlfn.STDEV.P('30lb(ni=2,no=1)_T1 Marke'!E10,'30lb(ni=2,no=1_T2)'!E10,'30lb(ni=2,no=1_T3)'!E10)</f>
        <v>3.9579699026421231</v>
      </c>
      <c r="J11" s="9">
        <f>AVERAGE('30lb(ni=2,no=1)_T1 Marke'!F10,'30lb(ni=2,no=1_T2)'!F10,'30lb(ni=2,no=1_T3)'!F10)</f>
        <v>21.997714510559689</v>
      </c>
      <c r="K11" s="10">
        <f>_xlfn.STDEV.P('30lb(ni=2,no=1)_T1 Marke'!F10,'30lb(ni=2,no=1_T2)'!F10,'30lb(ni=2,no=1_T3)'!F10)</f>
        <v>8.0520760621712366</v>
      </c>
    </row>
    <row r="12" spans="1:11" x14ac:dyDescent="0.25">
      <c r="A12" s="3">
        <f>AVERAGE('30lb(ni=2,no=1)_T1 Marke'!A11,'30lb(ni=2,no=1_T2)'!A11,'30lb(ni=2,no=1_T3)'!A11)</f>
        <v>255.75070377507896</v>
      </c>
      <c r="B12" s="9">
        <f>AVERAGE('30lb(ni=2,no=1)_T1 Marke'!B11,'30lb(ni=2,no=1_T2)'!B11,'30lb(ni=2,no=1_T3)'!B11)</f>
        <v>0.19666666666666668</v>
      </c>
      <c r="C12" s="10">
        <f>_xlfn.STDEV.P('30lb(ni=2,no=1)_T1 Marke'!B11,'30lb(ni=2,no=1_T2)'!B11,'30lb(ni=2,no=1_T3)'!B11)</f>
        <v>1.2472191289246473E-2</v>
      </c>
      <c r="D12" s="9">
        <f>AVERAGE('30lb(ni=2,no=1)_T1 Marke'!C11,'30lb(ni=2,no=1_T2)'!C11,'30lb(ni=2,no=1_T3)'!C11)</f>
        <v>26.717154603153102</v>
      </c>
      <c r="E12" s="10">
        <f>_xlfn.STDEV.P('30lb(ni=2,no=1)_T1 Marke'!C11,'30lb(ni=2,no=1_T2)'!C11,'30lb(ni=2,no=1_T3)'!C11)</f>
        <v>4.652926286495811</v>
      </c>
      <c r="F12" s="9">
        <f>AVERAGE('30lb(ni=2,no=1)_T1 Marke'!D11,'30lb(ni=2,no=1_T2)'!D11,'30lb(ni=2,no=1_T3)'!D11)</f>
        <v>176.56095386104698</v>
      </c>
      <c r="G12" s="10">
        <f>_xlfn.STDEV.P('30lb(ni=2,no=1)_T1 Marke'!D11,'30lb(ni=2,no=1_T2)'!D11,'30lb(ni=2,no=1_T3)'!D11)</f>
        <v>24.490990586065852</v>
      </c>
      <c r="H12" s="9">
        <f>AVERAGE('30lb(ni=2,no=1)_T1 Marke'!E11,'30lb(ni=2,no=1_T2)'!E11,'30lb(ni=2,no=1_T3)'!E11)</f>
        <v>16.480897599394364</v>
      </c>
      <c r="I12" s="10">
        <f>_xlfn.STDEV.P('30lb(ni=2,no=1)_T1 Marke'!E11,'30lb(ni=2,no=1_T2)'!E11,'30lb(ni=2,no=1_T3)'!E11)</f>
        <v>2.8474007972025515</v>
      </c>
      <c r="J12" s="9">
        <f>AVERAGE('30lb(ni=2,no=1)_T1 Marke'!F11,'30lb(ni=2,no=1_T2)'!F11,'30lb(ni=2,no=1_T3)'!F11)</f>
        <v>18.684161291168959</v>
      </c>
      <c r="K12" s="10">
        <f>_xlfn.STDEV.P('30lb(ni=2,no=1)_T1 Marke'!F11,'30lb(ni=2,no=1_T2)'!F11,'30lb(ni=2,no=1_T3)'!F11)</f>
        <v>7.4517732840016206</v>
      </c>
    </row>
    <row r="13" spans="1:11" x14ac:dyDescent="0.25">
      <c r="A13" s="3">
        <f>AVERAGE('30lb(ni=2,no=1)_T1 Marke'!A12,'30lb(ni=2,no=1_T2)'!A12,'30lb(ni=2,no=1_T3)'!A12)</f>
        <v>245.75070377507896</v>
      </c>
      <c r="B13" s="9">
        <f>AVERAGE('30lb(ni=2,no=1)_T1 Marke'!B12,'30lb(ni=2,no=1_T2)'!B12,'30lb(ni=2,no=1_T3)'!B12)</f>
        <v>0.24</v>
      </c>
      <c r="C13" s="10">
        <f>_xlfn.STDEV.P('30lb(ni=2,no=1)_T1 Marke'!B12,'30lb(ni=2,no=1_T2)'!B12,'30lb(ni=2,no=1_T3)'!B12)</f>
        <v>1.6329931618554526E-2</v>
      </c>
      <c r="D13" s="9">
        <f>AVERAGE('30lb(ni=2,no=1)_T1 Marke'!C12,'30lb(ni=2,no=1_T2)'!C12,'30lb(ni=2,no=1_T3)'!C12)</f>
        <v>25.500721261865568</v>
      </c>
      <c r="E13" s="10">
        <f>_xlfn.STDEV.P('30lb(ni=2,no=1)_T1 Marke'!C12,'30lb(ni=2,no=1_T2)'!C12,'30lb(ni=2,no=1_T3)'!C12)</f>
        <v>5.0438021717664627</v>
      </c>
      <c r="F13" s="9">
        <f>AVERAGE('30lb(ni=2,no=1)_T1 Marke'!D12,'30lb(ni=2,no=1_T2)'!D12,'30lb(ni=2,no=1_T3)'!D12)</f>
        <v>178.62832778690498</v>
      </c>
      <c r="G13" s="10">
        <f>_xlfn.STDEV.P('30lb(ni=2,no=1)_T1 Marke'!D12,'30lb(ni=2,no=1_T2)'!D12,'30lb(ni=2,no=1_T3)'!D12)</f>
        <v>24.138928456609559</v>
      </c>
      <c r="H13" s="9">
        <f>AVERAGE('30lb(ni=2,no=1)_T1 Marke'!E12,'30lb(ni=2,no=1_T2)'!E12,'30lb(ni=2,no=1_T3)'!E12)</f>
        <v>15.014501605542565</v>
      </c>
      <c r="I13" s="10">
        <f>_xlfn.STDEV.P('30lb(ni=2,no=1)_T1 Marke'!E12,'30lb(ni=2,no=1_T2)'!E12,'30lb(ni=2,no=1_T3)'!E12)</f>
        <v>3.4240782421278086</v>
      </c>
      <c r="J13" s="9">
        <f>AVERAGE('30lb(ni=2,no=1)_T1 Marke'!F12,'30lb(ni=2,no=1_T2)'!F12,'30lb(ni=2,no=1_T3)'!F12)</f>
        <v>15.330240434320631</v>
      </c>
      <c r="K13" s="10">
        <f>_xlfn.STDEV.P('30lb(ni=2,no=1)_T1 Marke'!F12,'30lb(ni=2,no=1_T2)'!F12,'30lb(ni=2,no=1_T3)'!F12)</f>
        <v>7.0035818595055304</v>
      </c>
    </row>
    <row r="14" spans="1:11" x14ac:dyDescent="0.25">
      <c r="A14" s="3">
        <f>AVERAGE('30lb(ni=2,no=1)_T1 Marke'!A13,'30lb(ni=2,no=1_T2)'!A13,'30lb(ni=2,no=1_T3)'!A13)</f>
        <v>235.75070377507902</v>
      </c>
      <c r="B14" s="9">
        <f>AVERAGE('30lb(ni=2,no=1)_T1 Marke'!B13,'30lb(ni=2,no=1_T2)'!B13,'30lb(ni=2,no=1_T3)'!B13)</f>
        <v>0.31</v>
      </c>
      <c r="C14" s="10">
        <f>_xlfn.STDEV.P('30lb(ni=2,no=1)_T1 Marke'!B13,'30lb(ni=2,no=1_T2)'!B13,'30lb(ni=2,no=1_T3)'!B13)</f>
        <v>6.9761498454854548E-2</v>
      </c>
      <c r="D14" s="9">
        <f>AVERAGE('30lb(ni=2,no=1)_T1 Marke'!C13,'30lb(ni=2,no=1_T2)'!C13,'30lb(ni=2,no=1_T3)'!C13)</f>
        <v>23.373729912439529</v>
      </c>
      <c r="E14" s="10">
        <f>_xlfn.STDEV.P('30lb(ni=2,no=1)_T1 Marke'!C13,'30lb(ni=2,no=1_T2)'!C13,'30lb(ni=2,no=1_T3)'!C13)</f>
        <v>5.2240921526994457</v>
      </c>
      <c r="F14" s="9">
        <f>AVERAGE('30lb(ni=2,no=1)_T1 Marke'!D13,'30lb(ni=2,no=1_T2)'!D13,'30lb(ni=2,no=1_T3)'!D13)</f>
        <v>179.42577906455065</v>
      </c>
      <c r="G14" s="10">
        <f>_xlfn.STDEV.P('30lb(ni=2,no=1)_T1 Marke'!D13,'30lb(ni=2,no=1_T2)'!D13,'30lb(ni=2,no=1_T3)'!D13)</f>
        <v>24.069473824470901</v>
      </c>
      <c r="H14" s="9">
        <f>AVERAGE('30lb(ni=2,no=1)_T1 Marke'!E13,'30lb(ni=2,no=1_T2)'!E13,'30lb(ni=2,no=1_T3)'!E13)</f>
        <v>13.871599827077498</v>
      </c>
      <c r="I14" s="10">
        <f>_xlfn.STDEV.P('30lb(ni=2,no=1)_T1 Marke'!E13,'30lb(ni=2,no=1_T2)'!E13,'30lb(ni=2,no=1_T3)'!E13)</f>
        <v>3.5817073714461296</v>
      </c>
      <c r="J14" s="9">
        <f>AVERAGE('30lb(ni=2,no=1)_T1 Marke'!F13,'30lb(ni=2,no=1_T2)'!F13,'30lb(ni=2,no=1_T3)'!F13)</f>
        <v>13.265005294662666</v>
      </c>
      <c r="K14" s="10">
        <f>_xlfn.STDEV.P('30lb(ni=2,no=1)_T1 Marke'!F13,'30lb(ni=2,no=1_T2)'!F13,'30lb(ni=2,no=1_T3)'!F13)</f>
        <v>6.8800980263204305</v>
      </c>
    </row>
    <row r="15" spans="1:11" x14ac:dyDescent="0.25">
      <c r="A15" s="3">
        <f>AVERAGE('30lb(ni=2,no=1)_T1 Marke'!A14,'30lb(ni=2,no=1_T2)'!A14,'30lb(ni=2,no=1_T3)'!A14)</f>
        <v>225.75070377507902</v>
      </c>
      <c r="B15" s="9">
        <f>AVERAGE('30lb(ni=2,no=1)_T1 Marke'!B14,'30lb(ni=2,no=1_T2)'!B14,'30lb(ni=2,no=1_T3)'!B14)</f>
        <v>0.43999999999999995</v>
      </c>
      <c r="C15" s="10">
        <f>_xlfn.STDEV.P('30lb(ni=2,no=1)_T1 Marke'!B14,'30lb(ni=2,no=1_T2)'!B14,'30lb(ni=2,no=1_T3)'!B14)</f>
        <v>0.17204650534085267</v>
      </c>
      <c r="D15" s="9">
        <f>AVERAGE('30lb(ni=2,no=1)_T1 Marke'!C14,'30lb(ni=2,no=1_T2)'!C14,'30lb(ni=2,no=1_T3)'!C14)</f>
        <v>22.055243507915304</v>
      </c>
      <c r="E15" s="10">
        <f>_xlfn.STDEV.P('30lb(ni=2,no=1)_T1 Marke'!C14,'30lb(ni=2,no=1_T2)'!C14,'30lb(ni=2,no=1_T3)'!C14)</f>
        <v>5.6896813529897248</v>
      </c>
      <c r="F15" s="9">
        <f>AVERAGE('30lb(ni=2,no=1)_T1 Marke'!D14,'30lb(ni=2,no=1_T2)'!D14,'30lb(ni=2,no=1_T3)'!D14)</f>
        <v>180.75682890652135</v>
      </c>
      <c r="G15" s="10">
        <f>_xlfn.STDEV.P('30lb(ni=2,no=1)_T1 Marke'!D14,'30lb(ni=2,no=1_T2)'!D14,'30lb(ni=2,no=1_T3)'!D14)</f>
        <v>24.400511880813049</v>
      </c>
      <c r="H15" s="9">
        <f>AVERAGE('30lb(ni=2,no=1)_T1 Marke'!E14,'30lb(ni=2,no=1_T2)'!E14,'30lb(ni=2,no=1_T3)'!E14)</f>
        <v>12.413766266429436</v>
      </c>
      <c r="I15" s="10">
        <f>_xlfn.STDEV.P('30lb(ni=2,no=1)_T1 Marke'!E14,'30lb(ni=2,no=1_T2)'!E14,'30lb(ni=2,no=1_T3)'!E14)</f>
        <v>4.4266518950072493</v>
      </c>
      <c r="J15" s="9">
        <f>AVERAGE('30lb(ni=2,no=1)_T1 Marke'!F14,'30lb(ni=2,no=1_T2)'!F14,'30lb(ni=2,no=1_T3)'!F14)</f>
        <v>10.673239571694181</v>
      </c>
      <c r="K15" s="10">
        <f>_xlfn.STDEV.P('30lb(ni=2,no=1)_T1 Marke'!F14,'30lb(ni=2,no=1_T2)'!F14,'30lb(ni=2,no=1_T3)'!F14)</f>
        <v>6.7585698052474079</v>
      </c>
    </row>
    <row r="16" spans="1:11" x14ac:dyDescent="0.25">
      <c r="A16" s="3">
        <f>AVERAGE('30lb(ni=2,no=1)_T1 Marke'!A15,'30lb(ni=2,no=1_T2)'!A15,'30lb(ni=2,no=1_T3)'!A15)</f>
        <v>215.75070377507902</v>
      </c>
      <c r="B16" s="9">
        <f>AVERAGE('30lb(ni=2,no=1)_T1 Marke'!B15,'30lb(ni=2,no=1_T2)'!B15,'30lb(ni=2,no=1_T3)'!B15)</f>
        <v>0.68333333333333346</v>
      </c>
      <c r="C16" s="10">
        <f>_xlfn.STDEV.P('30lb(ni=2,no=1)_T1 Marke'!B15,'30lb(ni=2,no=1_T2)'!B15,'30lb(ni=2,no=1_T3)'!B15)</f>
        <v>0.35518383346593285</v>
      </c>
      <c r="D16" s="9">
        <f>AVERAGE('30lb(ni=2,no=1)_T1 Marke'!C15,'30lb(ni=2,no=1_T2)'!C15,'30lb(ni=2,no=1_T3)'!C15)</f>
        <v>19.873839766993498</v>
      </c>
      <c r="E16" s="10">
        <f>_xlfn.STDEV.P('30lb(ni=2,no=1)_T1 Marke'!C15,'30lb(ni=2,no=1_T2)'!C15,'30lb(ni=2,no=1_T3)'!C15)</f>
        <v>5.6584218214756659</v>
      </c>
      <c r="F16" s="9">
        <f>AVERAGE('30lb(ni=2,no=1)_T1 Marke'!D15,'30lb(ni=2,no=1_T2)'!D15,'30lb(ni=2,no=1_T3)'!D15)</f>
        <v>181.835128600616</v>
      </c>
      <c r="G16" s="10">
        <f>_xlfn.STDEV.P('30lb(ni=2,no=1)_T1 Marke'!D15,'30lb(ni=2,no=1_T2)'!D15,'30lb(ni=2,no=1_T3)'!D15)</f>
        <v>24.536858207419922</v>
      </c>
      <c r="H16" s="9">
        <f>AVERAGE('30lb(ni=2,no=1)_T1 Marke'!E15,'30lb(ni=2,no=1_T2)'!E15,'30lb(ni=2,no=1_T3)'!E15)</f>
        <v>10.568685062404496</v>
      </c>
      <c r="I16" s="10">
        <f>_xlfn.STDEV.P('30lb(ni=2,no=1)_T1 Marke'!E15,'30lb(ni=2,no=1_T2)'!E15,'30lb(ni=2,no=1_T3)'!E15)</f>
        <v>5.4443319886564954</v>
      </c>
      <c r="J16" s="9">
        <f>AVERAGE('30lb(ni=2,no=1)_T1 Marke'!F15,'30lb(ni=2,no=1_T2)'!F15,'30lb(ni=2,no=1_T3)'!F15)</f>
        <v>8.680669827779564</v>
      </c>
      <c r="K16" s="10">
        <f>_xlfn.STDEV.P('30lb(ni=2,no=1)_T1 Marke'!F15,'30lb(ni=2,no=1_T2)'!F15,'30lb(ni=2,no=1_T3)'!F15)</f>
        <v>6.160233697801857</v>
      </c>
    </row>
    <row r="17" spans="1:11" ht="15.75" thickBot="1" x14ac:dyDescent="0.3">
      <c r="A17" s="4">
        <f>AVERAGE('30lb(ni=2,no=1)_T1 Marke'!A16,'30lb(ni=2,no=1_T2)'!A16,'30lb(ni=2,no=1_T3)'!A16)</f>
        <v>205.75070377507902</v>
      </c>
      <c r="B17" s="11">
        <f>AVERAGE('30lb(ni=2,no=1)_T1 Marke'!B16,'30lb(ni=2,no=1_T2)'!B16,'30lb(ni=2,no=1_T3)'!B16)</f>
        <v>1.0966666666666667</v>
      </c>
      <c r="C17" s="12">
        <f>_xlfn.STDEV.P('30lb(ni=2,no=1)_T1 Marke'!B16,'30lb(ni=2,no=1_T2)'!B16,'30lb(ni=2,no=1_T3)'!B16)</f>
        <v>0.64168181800293811</v>
      </c>
      <c r="D17" s="11">
        <f>AVERAGE('30lb(ni=2,no=1)_T1 Marke'!C16,'30lb(ni=2,no=1_T2)'!C16,'30lb(ni=2,no=1_T3)'!C16)</f>
        <v>17.601082720440232</v>
      </c>
      <c r="E17" s="12">
        <f>_xlfn.STDEV.P('30lb(ni=2,no=1)_T1 Marke'!C16,'30lb(ni=2,no=1_T2)'!C16,'30lb(ni=2,no=1_T3)'!C16)</f>
        <v>6.2172073844769793</v>
      </c>
      <c r="F17" s="11">
        <f>AVERAGE('30lb(ni=2,no=1)_T1 Marke'!D16,'30lb(ni=2,no=1_T2)'!D16,'30lb(ni=2,no=1_T3)'!D16)</f>
        <v>183.46150214361333</v>
      </c>
      <c r="G17" s="12">
        <f>_xlfn.STDEV.P('30lb(ni=2,no=1)_T1 Marke'!D16,'30lb(ni=2,no=1_T2)'!D16,'30lb(ni=2,no=1_T3)'!D16)</f>
        <v>25.701698547377468</v>
      </c>
      <c r="H17" s="11">
        <f>AVERAGE('30lb(ni=2,no=1)_T1 Marke'!E16,'30lb(ni=2,no=1_T2)'!E16,'30lb(ni=2,no=1_T3)'!E16)</f>
        <v>8.9916801399111606</v>
      </c>
      <c r="I17" s="12">
        <f>_xlfn.STDEV.P('30lb(ni=2,no=1)_T1 Marke'!E16,'30lb(ni=2,no=1_T2)'!E16,'30lb(ni=2,no=1_T3)'!E16)</f>
        <v>5.7793472183068397</v>
      </c>
      <c r="J17" s="11">
        <f>AVERAGE('30lb(ni=2,no=1)_T1 Marke'!F16,'30lb(ni=2,no=1_T2)'!F16,'30lb(ni=2,no=1_T3)'!F16)</f>
        <v>7.0730644597610945</v>
      </c>
      <c r="K17" s="12">
        <f>_xlfn.STDEV.P('30lb(ni=2,no=1)_T1 Marke'!F16,'30lb(ni=2,no=1_T2)'!F16,'30lb(ni=2,no=1_T3)'!F16)</f>
        <v>5.4329737050744633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3554-58AF-44F5-9DDD-5E7AA5F91285}">
  <dimension ref="A1:F21"/>
  <sheetViews>
    <sheetView workbookViewId="0">
      <selection activeCell="K21" sqref="K21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406.35</v>
      </c>
      <c r="B2">
        <v>0</v>
      </c>
      <c r="C2">
        <v>37.376451437873001</v>
      </c>
      <c r="D2">
        <v>204.247422680412</v>
      </c>
      <c r="E2">
        <v>27.7842647856755</v>
      </c>
      <c r="F2">
        <v>81.864351600651105</v>
      </c>
    </row>
    <row r="3" spans="1:6" x14ac:dyDescent="0.25">
      <c r="A3">
        <v>396.35</v>
      </c>
      <c r="B3">
        <v>0.08</v>
      </c>
      <c r="C3">
        <v>37.045686380900698</v>
      </c>
      <c r="D3">
        <v>205.735865436788</v>
      </c>
      <c r="E3">
        <v>26.957352143244702</v>
      </c>
      <c r="F3">
        <v>74.256755290287572</v>
      </c>
    </row>
    <row r="4" spans="1:6" x14ac:dyDescent="0.25">
      <c r="A4">
        <v>386.35</v>
      </c>
      <c r="B4">
        <v>0.19</v>
      </c>
      <c r="C4">
        <v>36.714921323928401</v>
      </c>
      <c r="D4">
        <v>205.07433532284301</v>
      </c>
      <c r="E4">
        <v>26.626587086272401</v>
      </c>
      <c r="F4">
        <v>62.183830710797601</v>
      </c>
    </row>
    <row r="5" spans="1:6" x14ac:dyDescent="0.25">
      <c r="A5">
        <v>376.35</v>
      </c>
      <c r="B5">
        <v>0.17</v>
      </c>
      <c r="C5">
        <v>36.549538795442203</v>
      </c>
      <c r="D5">
        <v>204.90895279435699</v>
      </c>
      <c r="E5">
        <v>25.799674443841599</v>
      </c>
      <c r="F5">
        <v>58.545415084102004</v>
      </c>
    </row>
    <row r="6" spans="1:6" x14ac:dyDescent="0.25">
      <c r="A6">
        <v>366.35</v>
      </c>
      <c r="B6">
        <v>0.18</v>
      </c>
      <c r="C6">
        <v>36.384156266955998</v>
      </c>
      <c r="D6">
        <v>204.41280520889899</v>
      </c>
      <c r="E6">
        <v>25.1381443298969</v>
      </c>
      <c r="F6">
        <v>55.73391209983722</v>
      </c>
    </row>
    <row r="7" spans="1:6" x14ac:dyDescent="0.25">
      <c r="A7">
        <v>356.35</v>
      </c>
      <c r="B7">
        <v>0.19</v>
      </c>
      <c r="C7">
        <v>36.053391209983701</v>
      </c>
      <c r="D7">
        <v>205.239717851329</v>
      </c>
      <c r="E7">
        <v>24.641996744438401</v>
      </c>
      <c r="F7">
        <v>50.441671188279969</v>
      </c>
    </row>
    <row r="8" spans="1:6" x14ac:dyDescent="0.25">
      <c r="A8">
        <v>346.35</v>
      </c>
      <c r="B8">
        <v>0.19</v>
      </c>
      <c r="C8">
        <v>35.226478567552903</v>
      </c>
      <c r="D8">
        <v>205.57048290830201</v>
      </c>
      <c r="E8">
        <v>23.980466630493801</v>
      </c>
      <c r="F8">
        <v>43.991752577319588</v>
      </c>
    </row>
    <row r="9" spans="1:6" x14ac:dyDescent="0.25">
      <c r="A9">
        <v>336.35</v>
      </c>
      <c r="B9">
        <v>0.19</v>
      </c>
      <c r="C9">
        <v>34.730330982094401</v>
      </c>
      <c r="D9">
        <v>206.397395550732</v>
      </c>
      <c r="E9">
        <v>21.995876288659801</v>
      </c>
      <c r="F9">
        <v>38.368746608790012</v>
      </c>
    </row>
    <row r="10" spans="1:6" x14ac:dyDescent="0.25">
      <c r="A10">
        <v>326.35000000000002</v>
      </c>
      <c r="B10">
        <v>0.2</v>
      </c>
      <c r="C10">
        <v>33.241888225718903</v>
      </c>
      <c r="D10">
        <v>206.893543136191</v>
      </c>
      <c r="E10">
        <v>23.980466630493801</v>
      </c>
      <c r="F10">
        <v>33.076505697232768</v>
      </c>
    </row>
    <row r="11" spans="1:6" x14ac:dyDescent="0.25">
      <c r="A11">
        <v>316.35000000000002</v>
      </c>
      <c r="B11">
        <v>0.21</v>
      </c>
      <c r="C11">
        <v>33.241888225718903</v>
      </c>
      <c r="D11">
        <v>208.05122083559399</v>
      </c>
      <c r="E11">
        <v>20.507433532284299</v>
      </c>
      <c r="F11">
        <v>28.941942485078673</v>
      </c>
    </row>
    <row r="12" spans="1:6" x14ac:dyDescent="0.25">
      <c r="A12">
        <v>306.35000000000002</v>
      </c>
      <c r="B12">
        <v>0.22</v>
      </c>
      <c r="C12">
        <v>32.580358111774302</v>
      </c>
      <c r="D12">
        <v>209.53966359197</v>
      </c>
      <c r="E12">
        <v>19.845903418339699</v>
      </c>
      <c r="F12">
        <v>25.138144329896903</v>
      </c>
    </row>
    <row r="13" spans="1:6" x14ac:dyDescent="0.25">
      <c r="A13">
        <v>296.35000000000002</v>
      </c>
      <c r="B13">
        <v>0.23</v>
      </c>
      <c r="C13">
        <v>30.7611502984265</v>
      </c>
      <c r="D13">
        <v>210.035811177428</v>
      </c>
      <c r="E13">
        <v>18.853608247422699</v>
      </c>
      <c r="F13">
        <v>22.82278893109061</v>
      </c>
    </row>
    <row r="14" spans="1:6" x14ac:dyDescent="0.25">
      <c r="A14">
        <v>286.35000000000002</v>
      </c>
      <c r="B14">
        <v>0.24</v>
      </c>
      <c r="C14">
        <v>30.0996201844818</v>
      </c>
      <c r="D14">
        <v>212.51654910472101</v>
      </c>
      <c r="E14">
        <v>18.522843190450399</v>
      </c>
      <c r="F14">
        <v>20.176668475311988</v>
      </c>
    </row>
    <row r="15" spans="1:6" x14ac:dyDescent="0.25">
      <c r="A15">
        <v>276.35000000000002</v>
      </c>
      <c r="B15">
        <v>0.25</v>
      </c>
      <c r="C15">
        <v>27.7842647856755</v>
      </c>
      <c r="D15">
        <v>214.00499186109599</v>
      </c>
      <c r="E15">
        <v>18.192078133477999</v>
      </c>
      <c r="F15">
        <v>17.365165491047204</v>
      </c>
    </row>
    <row r="16" spans="1:6" x14ac:dyDescent="0.25">
      <c r="A16">
        <v>266.35000000000002</v>
      </c>
      <c r="B16">
        <v>0.28999999999999998</v>
      </c>
      <c r="C16">
        <v>25.965056972327702</v>
      </c>
      <c r="D16">
        <v>217.974172544764</v>
      </c>
      <c r="E16">
        <v>17.0344004340749</v>
      </c>
      <c r="F16">
        <v>14.719045035268582</v>
      </c>
    </row>
    <row r="17" spans="1:6" x14ac:dyDescent="0.25">
      <c r="A17">
        <v>256.35000000000002</v>
      </c>
      <c r="B17">
        <v>0.3</v>
      </c>
      <c r="C17">
        <v>24.972761801410702</v>
      </c>
      <c r="D17">
        <v>219.627997829626</v>
      </c>
      <c r="E17">
        <v>15.3805751492132</v>
      </c>
      <c r="F17">
        <v>12.734454693434616</v>
      </c>
    </row>
    <row r="18" spans="1:6" x14ac:dyDescent="0.25">
      <c r="A18">
        <v>246.35</v>
      </c>
      <c r="B18">
        <v>0.34</v>
      </c>
      <c r="C18">
        <v>21.665111231687501</v>
      </c>
      <c r="D18">
        <v>223.76256104178</v>
      </c>
      <c r="E18">
        <v>14.2228974498101</v>
      </c>
      <c r="F18">
        <v>9.592186652197503</v>
      </c>
    </row>
    <row r="19" spans="1:6" x14ac:dyDescent="0.25">
      <c r="A19">
        <v>236.35</v>
      </c>
      <c r="B19">
        <v>0.4</v>
      </c>
      <c r="C19">
        <v>19.515138361367299</v>
      </c>
      <c r="D19">
        <v>224.920238741183</v>
      </c>
      <c r="E19">
        <v>10.7498643516006</v>
      </c>
      <c r="F19">
        <v>7.276831253391209</v>
      </c>
    </row>
    <row r="20" spans="1:6" x14ac:dyDescent="0.25">
      <c r="A20">
        <v>226.35</v>
      </c>
      <c r="B20">
        <v>0.51</v>
      </c>
      <c r="C20">
        <v>17.695930548019501</v>
      </c>
      <c r="D20">
        <v>227.566359196961</v>
      </c>
      <c r="E20">
        <v>8.2691264243081903</v>
      </c>
      <c r="F20">
        <v>5.4576234400434069</v>
      </c>
    </row>
    <row r="21" spans="1:6" x14ac:dyDescent="0.25">
      <c r="A21">
        <v>216.35</v>
      </c>
      <c r="B21">
        <v>0.68</v>
      </c>
      <c r="C21">
        <v>15.2151926207271</v>
      </c>
      <c r="D21">
        <v>229.220184481823</v>
      </c>
      <c r="E21">
        <v>5.9537710255018998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E42-CB3E-40EF-9BAB-D399A7D7C3FD}">
  <dimension ref="A1:F16"/>
  <sheetViews>
    <sheetView workbookViewId="0">
      <selection activeCell="J17" sqref="J17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305.83037735849001</v>
      </c>
      <c r="B2">
        <v>0</v>
      </c>
      <c r="C2">
        <v>31.558301886792499</v>
      </c>
      <c r="D2">
        <v>141.83264150943401</v>
      </c>
      <c r="E2">
        <v>25.376037735849099</v>
      </c>
      <c r="F2">
        <v>139.74792452830201</v>
      </c>
    </row>
    <row r="3" spans="1:6" x14ac:dyDescent="0.25">
      <c r="A3">
        <v>295.83037735849001</v>
      </c>
      <c r="B3">
        <v>0</v>
      </c>
      <c r="C3">
        <v>31.0071698113208</v>
      </c>
      <c r="D3">
        <v>141.20962264150899</v>
      </c>
      <c r="E3">
        <v>22.6203773584906</v>
      </c>
      <c r="F3">
        <v>100.42584905660399</v>
      </c>
    </row>
    <row r="4" spans="1:6" x14ac:dyDescent="0.25">
      <c r="A4">
        <v>285.83037735849001</v>
      </c>
      <c r="B4">
        <v>0</v>
      </c>
      <c r="C4">
        <v>30.48</v>
      </c>
      <c r="D4">
        <v>143.41415094339601</v>
      </c>
      <c r="E4">
        <v>21.7816981132076</v>
      </c>
      <c r="F4">
        <v>90.888867924528299</v>
      </c>
    </row>
    <row r="5" spans="1:6" x14ac:dyDescent="0.25">
      <c r="A5">
        <v>275.83037735849001</v>
      </c>
      <c r="B5">
        <v>0</v>
      </c>
      <c r="C5">
        <v>30.144528301886801</v>
      </c>
      <c r="D5">
        <v>143.605849056604</v>
      </c>
      <c r="E5">
        <v>20.6315094339623</v>
      </c>
      <c r="F5">
        <v>67.070377358490603</v>
      </c>
    </row>
    <row r="6" spans="1:6" x14ac:dyDescent="0.25">
      <c r="A6">
        <v>265.83037735849001</v>
      </c>
      <c r="B6">
        <v>0</v>
      </c>
      <c r="C6">
        <v>29.233962264151</v>
      </c>
      <c r="D6">
        <v>143.72566037735899</v>
      </c>
      <c r="E6">
        <v>20.463773584905699</v>
      </c>
      <c r="F6">
        <v>45.672075471698101</v>
      </c>
    </row>
    <row r="7" spans="1:6" x14ac:dyDescent="0.25">
      <c r="A7">
        <v>255.83037735849001</v>
      </c>
      <c r="B7">
        <v>0</v>
      </c>
      <c r="C7">
        <v>27.820188679245302</v>
      </c>
      <c r="D7">
        <v>144.851886792453</v>
      </c>
      <c r="E7">
        <v>19.768867924528301</v>
      </c>
      <c r="F7">
        <v>34.242075471698101</v>
      </c>
    </row>
    <row r="8" spans="1:6" x14ac:dyDescent="0.25">
      <c r="A8">
        <v>245.83037735849001</v>
      </c>
      <c r="B8">
        <v>0.08</v>
      </c>
      <c r="C8">
        <v>26.046981132075501</v>
      </c>
      <c r="D8">
        <v>145.30716981132099</v>
      </c>
      <c r="E8">
        <v>19.026037735849101</v>
      </c>
      <c r="F8">
        <v>28.994339622641501</v>
      </c>
    </row>
    <row r="9" spans="1:6" x14ac:dyDescent="0.25">
      <c r="A9">
        <v>235.83037735849001</v>
      </c>
      <c r="B9">
        <v>0.13</v>
      </c>
      <c r="C9">
        <v>24.753018867924499</v>
      </c>
      <c r="D9">
        <v>145.93018867924499</v>
      </c>
      <c r="E9">
        <v>18.738490566037701</v>
      </c>
      <c r="F9">
        <v>25.016603773584901</v>
      </c>
    </row>
    <row r="10" spans="1:6" x14ac:dyDescent="0.25">
      <c r="A10">
        <v>225.83037735849001</v>
      </c>
      <c r="B10">
        <v>0.14000000000000001</v>
      </c>
      <c r="C10">
        <v>24.393584905660401</v>
      </c>
      <c r="D10">
        <v>147.05641509434</v>
      </c>
      <c r="E10">
        <v>17.0850943396226</v>
      </c>
      <c r="F10">
        <v>18.738490566037701</v>
      </c>
    </row>
    <row r="11" spans="1:6" x14ac:dyDescent="0.25">
      <c r="A11">
        <v>215.83037735849001</v>
      </c>
      <c r="B11">
        <v>0.18</v>
      </c>
      <c r="C11">
        <v>22.716226415094301</v>
      </c>
      <c r="D11">
        <v>148.32641509434001</v>
      </c>
      <c r="E11">
        <v>14.4252830188679</v>
      </c>
      <c r="F11">
        <v>15.647358490566001</v>
      </c>
    </row>
    <row r="12" spans="1:6" x14ac:dyDescent="0.25">
      <c r="A12">
        <v>205.83037735849001</v>
      </c>
      <c r="B12">
        <v>0.24</v>
      </c>
      <c r="C12">
        <v>21.206603773584899</v>
      </c>
      <c r="D12">
        <v>150.62679245282999</v>
      </c>
      <c r="E12">
        <v>12.3166037735849</v>
      </c>
      <c r="F12">
        <v>11.621698113207501</v>
      </c>
    </row>
    <row r="13" spans="1:6" x14ac:dyDescent="0.25">
      <c r="A13">
        <v>195.83037735849001</v>
      </c>
      <c r="B13">
        <v>0.3</v>
      </c>
      <c r="C13">
        <v>19.6011320754717</v>
      </c>
      <c r="D13">
        <v>151.22584905660401</v>
      </c>
      <c r="E13">
        <v>12.1728301886792</v>
      </c>
      <c r="F13">
        <v>10.0641509433962</v>
      </c>
    </row>
    <row r="14" spans="1:6" x14ac:dyDescent="0.25">
      <c r="A14">
        <v>185.83037735849001</v>
      </c>
      <c r="B14">
        <v>0.42</v>
      </c>
      <c r="C14">
        <v>17.875849056603801</v>
      </c>
      <c r="D14">
        <v>153.19075471698099</v>
      </c>
      <c r="E14">
        <v>10.5433962264151</v>
      </c>
      <c r="F14">
        <v>6.8052830188679296</v>
      </c>
    </row>
    <row r="15" spans="1:6" x14ac:dyDescent="0.25">
      <c r="A15">
        <v>175.83037735849001</v>
      </c>
      <c r="B15">
        <v>0.68</v>
      </c>
      <c r="C15">
        <v>16.9652830188679</v>
      </c>
      <c r="D15">
        <v>154.48471698113201</v>
      </c>
      <c r="E15">
        <v>7.6918867924528298</v>
      </c>
      <c r="F15">
        <v>4.9362264150943398</v>
      </c>
    </row>
    <row r="16" spans="1:6" x14ac:dyDescent="0.25">
      <c r="A16">
        <v>165.83037735849001</v>
      </c>
      <c r="B16">
        <v>1.1399999999999999</v>
      </c>
      <c r="C16">
        <v>15.7671698113208</v>
      </c>
      <c r="D16">
        <v>156.329811320755</v>
      </c>
      <c r="E16">
        <v>6.2301886792452796</v>
      </c>
      <c r="F16">
        <v>3.90584905660377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BB4D-1BE1-4D10-874F-C85F05D1FB9A}">
  <dimension ref="A1:F16"/>
  <sheetViews>
    <sheetView workbookViewId="0">
      <selection activeCell="L16" sqref="L16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325.07173396674699</v>
      </c>
      <c r="B2">
        <v>0</v>
      </c>
      <c r="C2">
        <v>34.268883610451297</v>
      </c>
      <c r="D2">
        <v>163.10902612826601</v>
      </c>
      <c r="E2">
        <v>23.0470308788599</v>
      </c>
      <c r="F2">
        <v>54.299287410926397</v>
      </c>
    </row>
    <row r="3" spans="1:6" x14ac:dyDescent="0.25">
      <c r="A3">
        <v>315.07173396674699</v>
      </c>
      <c r="B3">
        <v>0</v>
      </c>
      <c r="C3">
        <v>33.213064133016701</v>
      </c>
      <c r="D3">
        <v>164.345843230404</v>
      </c>
      <c r="E3">
        <v>21.267220902612799</v>
      </c>
      <c r="F3">
        <v>47.300712589073697</v>
      </c>
    </row>
    <row r="4" spans="1:6" x14ac:dyDescent="0.25">
      <c r="A4">
        <v>305.07173396674699</v>
      </c>
      <c r="B4">
        <v>0</v>
      </c>
      <c r="C4">
        <v>32.670071258907399</v>
      </c>
      <c r="D4">
        <v>165.34133016627101</v>
      </c>
      <c r="E4">
        <v>21.840380047505999</v>
      </c>
      <c r="F4">
        <v>42.564608076009499</v>
      </c>
    </row>
    <row r="5" spans="1:6" x14ac:dyDescent="0.25">
      <c r="A5">
        <v>295.07173396674699</v>
      </c>
      <c r="B5">
        <v>0</v>
      </c>
      <c r="C5">
        <v>31.584085510688901</v>
      </c>
      <c r="D5">
        <v>166.45748218527299</v>
      </c>
      <c r="E5">
        <v>21.1767220902613</v>
      </c>
      <c r="F5">
        <v>35.747030878859903</v>
      </c>
    </row>
    <row r="6" spans="1:6" x14ac:dyDescent="0.25">
      <c r="A6">
        <v>285.07173396674699</v>
      </c>
      <c r="B6">
        <v>7.0000000000000007E-2</v>
      </c>
      <c r="C6">
        <v>30.588598574821901</v>
      </c>
      <c r="D6">
        <v>166.75914489311199</v>
      </c>
      <c r="E6">
        <v>20.6035629453682</v>
      </c>
      <c r="F6">
        <v>31.131591448931101</v>
      </c>
    </row>
    <row r="7" spans="1:6" x14ac:dyDescent="0.25">
      <c r="A7">
        <v>275.07173396674699</v>
      </c>
      <c r="B7">
        <v>0.08</v>
      </c>
      <c r="C7">
        <v>29.200950118764901</v>
      </c>
      <c r="D7">
        <v>167.87529691211401</v>
      </c>
      <c r="E7">
        <v>17.466270783848</v>
      </c>
      <c r="F7">
        <v>24.61567695962</v>
      </c>
    </row>
    <row r="8" spans="1:6" x14ac:dyDescent="0.25">
      <c r="A8">
        <v>265.07173396674699</v>
      </c>
      <c r="B8">
        <v>0.09</v>
      </c>
      <c r="C8">
        <v>27.602137767220899</v>
      </c>
      <c r="D8">
        <v>168.99144893111699</v>
      </c>
      <c r="E8">
        <v>17.436104513064102</v>
      </c>
      <c r="F8">
        <v>20.241567695962001</v>
      </c>
    </row>
    <row r="9" spans="1:6" x14ac:dyDescent="0.25">
      <c r="A9">
        <v>255.07173396674699</v>
      </c>
      <c r="B9">
        <v>0.12</v>
      </c>
      <c r="C9">
        <v>26.697149643705501</v>
      </c>
      <c r="D9">
        <v>169.0216152019</v>
      </c>
      <c r="E9">
        <v>15.3847980997625</v>
      </c>
      <c r="F9">
        <v>17.194774346793402</v>
      </c>
    </row>
    <row r="10" spans="1:6" x14ac:dyDescent="0.25">
      <c r="A10">
        <v>245.07173396674699</v>
      </c>
      <c r="B10">
        <v>0.15</v>
      </c>
      <c r="C10">
        <v>25.4904988123516</v>
      </c>
      <c r="D10">
        <v>171.40475059382399</v>
      </c>
      <c r="E10">
        <v>14.6306413301663</v>
      </c>
      <c r="F10">
        <v>14.178147268408599</v>
      </c>
    </row>
    <row r="11" spans="1:6" x14ac:dyDescent="0.25">
      <c r="A11">
        <v>235.07173396674699</v>
      </c>
      <c r="B11">
        <v>0.2</v>
      </c>
      <c r="C11">
        <v>24.193349168646101</v>
      </c>
      <c r="D11">
        <v>173.305225653207</v>
      </c>
      <c r="E11">
        <v>14.509976247030901</v>
      </c>
      <c r="F11">
        <v>11.4631828978622</v>
      </c>
    </row>
    <row r="12" spans="1:6" x14ac:dyDescent="0.25">
      <c r="A12">
        <v>225.07173396674699</v>
      </c>
      <c r="B12">
        <v>0.26</v>
      </c>
      <c r="C12">
        <v>22.715201900237499</v>
      </c>
      <c r="D12">
        <v>175.718527315915</v>
      </c>
      <c r="E12">
        <v>12.880997624703101</v>
      </c>
      <c r="F12">
        <v>9.2308788598574907</v>
      </c>
    </row>
    <row r="13" spans="1:6" x14ac:dyDescent="0.25">
      <c r="A13">
        <v>215.07173396674699</v>
      </c>
      <c r="B13">
        <v>0.4</v>
      </c>
      <c r="C13">
        <v>19.758907363420398</v>
      </c>
      <c r="D13">
        <v>177.01567695962001</v>
      </c>
      <c r="E13">
        <v>10.588361045130601</v>
      </c>
      <c r="F13">
        <v>6.9080760095011904</v>
      </c>
    </row>
    <row r="14" spans="1:6" x14ac:dyDescent="0.25">
      <c r="A14">
        <v>205.07173396674699</v>
      </c>
      <c r="B14">
        <v>0.66</v>
      </c>
      <c r="C14">
        <v>18.190261282660298</v>
      </c>
      <c r="D14">
        <v>176.56318289786199</v>
      </c>
      <c r="E14">
        <v>8.1750593824228108</v>
      </c>
      <c r="F14">
        <v>5.0377672209026203</v>
      </c>
    </row>
    <row r="15" spans="1:6" x14ac:dyDescent="0.25">
      <c r="A15">
        <v>195.07173396674699</v>
      </c>
      <c r="B15">
        <v>1.1200000000000001</v>
      </c>
      <c r="C15">
        <v>14.8719714964371</v>
      </c>
      <c r="D15">
        <v>177.01567695962001</v>
      </c>
      <c r="E15">
        <v>5.8220902612826597</v>
      </c>
      <c r="F15">
        <v>3.7406175771971499</v>
      </c>
    </row>
    <row r="16" spans="1:6" x14ac:dyDescent="0.25">
      <c r="A16">
        <v>185.07173396674699</v>
      </c>
      <c r="B16">
        <v>1.86</v>
      </c>
      <c r="C16">
        <v>11.071021377672199</v>
      </c>
      <c r="D16">
        <v>176.08052256532099</v>
      </c>
      <c r="E16">
        <v>3.7104513064133</v>
      </c>
      <c r="F16">
        <v>2.5942992874109301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951AE-E697-47A7-B9F9-3476C074C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30lb(ni=2,no=1)_T1 Marke</vt:lpstr>
      <vt:lpstr>30lb(ni=2,no=1_T2)</vt:lpstr>
      <vt:lpstr>30lb(ni=2,no=1_T3)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Akibul Islam</dc:creator>
  <cp:lastModifiedBy>Md. Akibul Islam</cp:lastModifiedBy>
  <dcterms:created xsi:type="dcterms:W3CDTF">2026-05-13T18:13:26Z</dcterms:created>
  <dcterms:modified xsi:type="dcterms:W3CDTF">2026-05-13T19:48:58Z</dcterms:modified>
</cp:coreProperties>
</file>