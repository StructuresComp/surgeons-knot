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PHD\UCLA\Knot\Test data - Modified\Surgeon Knot\With Standard Deviation\"/>
    </mc:Choice>
  </mc:AlternateContent>
  <xr:revisionPtr revIDLastSave="0" documentId="13_ncr:1_{6A2D8356-2AD9-4C9F-8AC5-23550C540D52}" xr6:coauthVersionLast="47" xr6:coauthVersionMax="47" xr10:uidLastSave="{00000000-0000-0000-0000-000000000000}"/>
  <bookViews>
    <workbookView xWindow="-120" yWindow="-120" windowWidth="29040" windowHeight="15720" xr2:uid="{778308DE-EE87-45D1-8653-0828AEFA584A}"/>
  </bookViews>
  <sheets>
    <sheet name="Summary" sheetId="5" r:id="rId1"/>
    <sheet name="60lb(ni=1,no=1)_T2 Marke" sheetId="1" r:id="rId2"/>
    <sheet name="60lb(ni=1,no=1_T1)" sheetId="4" r:id="rId3"/>
    <sheet name="60lb(ni=1,no=1_T3)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5" l="1"/>
  <c r="K5" i="5"/>
  <c r="K6" i="5"/>
  <c r="K7" i="5"/>
  <c r="K8" i="5"/>
  <c r="K9" i="5"/>
  <c r="K10" i="5"/>
  <c r="K11" i="5"/>
  <c r="K12" i="5"/>
  <c r="K13" i="5"/>
  <c r="K14" i="5"/>
  <c r="K15" i="5"/>
  <c r="K3" i="5"/>
  <c r="I4" i="5"/>
  <c r="I5" i="5"/>
  <c r="I6" i="5"/>
  <c r="I7" i="5"/>
  <c r="I8" i="5"/>
  <c r="I9" i="5"/>
  <c r="I10" i="5"/>
  <c r="I11" i="5"/>
  <c r="I12" i="5"/>
  <c r="I13" i="5"/>
  <c r="I14" i="5"/>
  <c r="I15" i="5"/>
  <c r="I3" i="5"/>
  <c r="G4" i="5"/>
  <c r="G5" i="5"/>
  <c r="G6" i="5"/>
  <c r="G7" i="5"/>
  <c r="G8" i="5"/>
  <c r="G9" i="5"/>
  <c r="G10" i="5"/>
  <c r="G11" i="5"/>
  <c r="G12" i="5"/>
  <c r="G13" i="5"/>
  <c r="G14" i="5"/>
  <c r="G15" i="5"/>
  <c r="G3" i="5"/>
  <c r="J4" i="5"/>
  <c r="J5" i="5"/>
  <c r="J6" i="5"/>
  <c r="J7" i="5"/>
  <c r="J8" i="5"/>
  <c r="J9" i="5"/>
  <c r="J10" i="5"/>
  <c r="J11" i="5"/>
  <c r="J12" i="5"/>
  <c r="J13" i="5"/>
  <c r="J14" i="5"/>
  <c r="J15" i="5"/>
  <c r="J3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F4" i="5"/>
  <c r="F5" i="5"/>
  <c r="F6" i="5"/>
  <c r="F7" i="5"/>
  <c r="F8" i="5"/>
  <c r="F9" i="5"/>
  <c r="F10" i="5"/>
  <c r="F11" i="5"/>
  <c r="F12" i="5"/>
  <c r="F13" i="5"/>
  <c r="F14" i="5"/>
  <c r="F15" i="5"/>
  <c r="F3" i="5"/>
  <c r="D4" i="5"/>
  <c r="D5" i="5"/>
  <c r="D6" i="5"/>
  <c r="D7" i="5"/>
  <c r="D8" i="5"/>
  <c r="D9" i="5"/>
  <c r="D10" i="5"/>
  <c r="D11" i="5"/>
  <c r="D12" i="5"/>
  <c r="D13" i="5"/>
  <c r="D14" i="5"/>
  <c r="D15" i="5"/>
  <c r="D3" i="5"/>
  <c r="E4" i="5"/>
  <c r="E5" i="5"/>
  <c r="E6" i="5"/>
  <c r="E7" i="5"/>
  <c r="E8" i="5"/>
  <c r="E9" i="5"/>
  <c r="E10" i="5"/>
  <c r="E11" i="5"/>
  <c r="E12" i="5"/>
  <c r="E13" i="5"/>
  <c r="E14" i="5"/>
  <c r="E15" i="5"/>
  <c r="E3" i="5"/>
  <c r="C4" i="5"/>
  <c r="C5" i="5"/>
  <c r="C6" i="5"/>
  <c r="C7" i="5"/>
  <c r="C8" i="5"/>
  <c r="C9" i="5"/>
  <c r="C10" i="5"/>
  <c r="C11" i="5"/>
  <c r="C12" i="5"/>
  <c r="C13" i="5"/>
  <c r="C14" i="5"/>
  <c r="C15" i="5"/>
  <c r="C3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A4" i="5"/>
  <c r="A5" i="5"/>
  <c r="A6" i="5"/>
  <c r="A7" i="5"/>
  <c r="A8" i="5"/>
  <c r="A9" i="5"/>
  <c r="A10" i="5"/>
  <c r="A11" i="5"/>
  <c r="A12" i="5"/>
  <c r="A13" i="5"/>
  <c r="A14" i="5"/>
  <c r="A15" i="5"/>
  <c r="A3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0F5904-2ED3-4DDC-AD85-FD7F0BB09138}" keepAlive="1" name="Query - 30lb(ni=1,no=1_T1)" description="Connection to the '30lb(ni=1,no=1_T1)' query in the workbook." type="5" refreshedVersion="0" background="1">
    <dbPr connection="Provider=Microsoft.Mashup.OleDb.1;Data Source=$Workbook$;Location=&quot;30lb(ni=1,no=1_T1)&quot;;Extended Properties=&quot;&quot;" command="SELECT * FROM [30lb(ni=1,no=1_T1)]"/>
  </connection>
</connections>
</file>

<file path=xl/sharedStrings.xml><?xml version="1.0" encoding="utf-8"?>
<sst xmlns="http://schemas.openxmlformats.org/spreadsheetml/2006/main" count="34" uniqueCount="8">
  <si>
    <t>F (N)</t>
  </si>
  <si>
    <t>L_bi (mm)</t>
  </si>
  <si>
    <t>L_li (mm)</t>
  </si>
  <si>
    <t>L_bo (mm)</t>
  </si>
  <si>
    <t>R_bi (mm)</t>
  </si>
  <si>
    <t>e(mm)</t>
  </si>
  <si>
    <t>ave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</si>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</sst>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157A-7AAC-411D-A08A-5424BB73013D}">
  <dimension ref="A1:K15"/>
  <sheetViews>
    <sheetView tabSelected="1" workbookViewId="0">
      <selection activeCell="M14" sqref="M14"/>
    </sheetView>
  </sheetViews>
  <sheetFormatPr defaultRowHeight="15" x14ac:dyDescent="0.25"/>
  <cols>
    <col min="1" max="16384" width="9.140625" style="1"/>
  </cols>
  <sheetData>
    <row r="1" spans="1:11" x14ac:dyDescent="0.25">
      <c r="A1" s="2" t="s">
        <v>5</v>
      </c>
      <c r="B1" s="6" t="s">
        <v>0</v>
      </c>
      <c r="C1" s="7"/>
      <c r="D1" s="6" t="s">
        <v>1</v>
      </c>
      <c r="E1" s="7"/>
      <c r="F1" s="6" t="s">
        <v>2</v>
      </c>
      <c r="G1" s="7"/>
      <c r="H1" s="6" t="s">
        <v>3</v>
      </c>
      <c r="I1" s="7"/>
      <c r="J1" s="6" t="s">
        <v>4</v>
      </c>
      <c r="K1" s="7"/>
    </row>
    <row r="2" spans="1:11" x14ac:dyDescent="0.25">
      <c r="A2" s="3"/>
      <c r="B2" s="8" t="s">
        <v>6</v>
      </c>
      <c r="C2" s="9" t="s">
        <v>7</v>
      </c>
      <c r="D2" s="8" t="s">
        <v>6</v>
      </c>
      <c r="E2" s="9" t="s">
        <v>7</v>
      </c>
      <c r="F2" s="8" t="s">
        <v>6</v>
      </c>
      <c r="G2" s="9" t="s">
        <v>7</v>
      </c>
      <c r="H2" s="8" t="s">
        <v>6</v>
      </c>
      <c r="I2" s="9" t="s">
        <v>7</v>
      </c>
      <c r="J2" s="8" t="s">
        <v>6</v>
      </c>
      <c r="K2" s="9" t="s">
        <v>7</v>
      </c>
    </row>
    <row r="3" spans="1:11" x14ac:dyDescent="0.25">
      <c r="A3" s="4">
        <f>AVERAGE('60lb(ni=1,no=1)_T2 Marke'!A2,'60lb(ni=1,no=1_T1)'!A2,'60lb(ni=1,no=1_T3)'!A2)</f>
        <v>440.86020548474335</v>
      </c>
      <c r="B3" s="10">
        <f>AVERAGE('60lb(ni=1,no=1)_T2 Marke'!B2,'60lb(ni=1,no=1_T1)'!B2,'60lb(ni=1,no=1_T3)'!B2)</f>
        <v>0</v>
      </c>
      <c r="C3" s="11">
        <f>_xlfn.STDEV.P('60lb(ni=1,no=1)_T2 Marke'!B2,'60lb(ni=1,no=1_T1)'!B2,'60lb(ni=1,no=1_T3)'!B2)</f>
        <v>0</v>
      </c>
      <c r="D3" s="10">
        <f>AVERAGE('60lb(ni=1,no=1)_T2 Marke'!C2,'60lb(ni=1,no=1_T1)'!C2,'60lb(ni=1,no=1_T3)'!C2)</f>
        <v>26.772481558419447</v>
      </c>
      <c r="E3" s="11">
        <f>_xlfn.STDEV.P('60lb(ni=1,no=1)_T2 Marke'!C2,'60lb(ni=1,no=1_T1)'!C2,'60lb(ni=1,no=1_T3)'!C2)</f>
        <v>2.546895673840202</v>
      </c>
      <c r="F3" s="10">
        <f>AVERAGE('60lb(ni=1,no=1)_T2 Marke'!D2,'60lb(ni=1,no=1_T1)'!D2,'60lb(ni=1,no=1_T3)'!D2)</f>
        <v>227.86098959097322</v>
      </c>
      <c r="G3" s="11">
        <f>_xlfn.STDEV.P('60lb(ni=1,no=1)_T2 Marke'!D2,'60lb(ni=1,no=1_T1)'!D2,'60lb(ni=1,no=1_T3)'!D2)</f>
        <v>36.467000102349793</v>
      </c>
      <c r="H3" s="10">
        <f>AVERAGE('60lb(ni=1,no=1)_T2 Marke'!E2,'60lb(ni=1,no=1_T1)'!E2,'60lb(ni=1,no=1_T3)'!E2)</f>
        <v>33.642777018484743</v>
      </c>
      <c r="I3" s="11">
        <f>_xlfn.STDEV.P('60lb(ni=1,no=1)_T2 Marke'!E2,'60lb(ni=1,no=1_T1)'!E2,'60lb(ni=1,no=1_T3)'!E2)</f>
        <v>3.8276724971071268</v>
      </c>
      <c r="J3" s="10">
        <f>AVERAGE('60lb(ni=1,no=1)_T2 Marke'!F2,'60lb(ni=1,no=1_T1)'!F2,'60lb(ni=1,no=1_T3)'!F2)</f>
        <v>88.879931625812716</v>
      </c>
      <c r="K3" s="11">
        <f>_xlfn.STDEV.P('60lb(ni=1,no=1)_T2 Marke'!F2,'60lb(ni=1,no=1_T1)'!F2,'60lb(ni=1,no=1_T3)'!F2)</f>
        <v>17.318091891889672</v>
      </c>
    </row>
    <row r="4" spans="1:11" x14ac:dyDescent="0.25">
      <c r="A4" s="4">
        <f>AVERAGE('60lb(ni=1,no=1)_T2 Marke'!A3,'60lb(ni=1,no=1_T1)'!A3,'60lb(ni=1,no=1_T3)'!A3)</f>
        <v>430.86020548474335</v>
      </c>
      <c r="B4" s="10">
        <f>AVERAGE('60lb(ni=1,no=1)_T2 Marke'!B3,'60lb(ni=1,no=1_T1)'!B3,'60lb(ni=1,no=1_T3)'!B3)</f>
        <v>4.6666666666666669E-2</v>
      </c>
      <c r="C4" s="11">
        <f>_xlfn.STDEV.P('60lb(ni=1,no=1)_T2 Marke'!B3,'60lb(ni=1,no=1_T1)'!B3,'60lb(ni=1,no=1_T3)'!B3)</f>
        <v>2.3570226039551587E-2</v>
      </c>
      <c r="D4" s="10">
        <f>AVERAGE('60lb(ni=1,no=1)_T2 Marke'!C3,'60lb(ni=1,no=1_T1)'!C3,'60lb(ni=1,no=1_T3)'!C3)</f>
        <v>26.879028330765646</v>
      </c>
      <c r="E4" s="11">
        <f>_xlfn.STDEV.P('60lb(ni=1,no=1)_T2 Marke'!C3,'60lb(ni=1,no=1_T1)'!C3,'60lb(ni=1,no=1_T3)'!C3)</f>
        <v>2.9482211521668042</v>
      </c>
      <c r="F4" s="10">
        <f>AVERAGE('60lb(ni=1,no=1)_T2 Marke'!D3,'60lb(ni=1,no=1_T1)'!D3,'60lb(ni=1,no=1_T3)'!D3)</f>
        <v>228.31489393633601</v>
      </c>
      <c r="G4" s="11">
        <f>_xlfn.STDEV.P('60lb(ni=1,no=1)_T2 Marke'!D3,'60lb(ni=1,no=1_T1)'!D3,'60lb(ni=1,no=1_T3)'!D3)</f>
        <v>36.6219280317003</v>
      </c>
      <c r="H4" s="10">
        <f>AVERAGE('60lb(ni=1,no=1)_T2 Marke'!E3,'60lb(ni=1,no=1_T1)'!E3,'60lb(ni=1,no=1_T3)'!E3)</f>
        <v>32.239265960811878</v>
      </c>
      <c r="I4" s="11">
        <f>_xlfn.STDEV.P('60lb(ni=1,no=1)_T2 Marke'!E3,'60lb(ni=1,no=1_T1)'!E3,'60lb(ni=1,no=1_T3)'!E3)</f>
        <v>5.2261152646605789</v>
      </c>
      <c r="J4" s="10">
        <f>AVERAGE('60lb(ni=1,no=1)_T2 Marke'!F3,'60lb(ni=1,no=1_T1)'!F3,'60lb(ni=1,no=1_T3)'!F3)</f>
        <v>83.018036015323105</v>
      </c>
      <c r="K4" s="11">
        <f>_xlfn.STDEV.P('60lb(ni=1,no=1)_T2 Marke'!F3,'60lb(ni=1,no=1_T1)'!F3,'60lb(ni=1,no=1_T3)'!F3)</f>
        <v>17.225541285301311</v>
      </c>
    </row>
    <row r="5" spans="1:11" x14ac:dyDescent="0.25">
      <c r="A5" s="4">
        <f>AVERAGE('60lb(ni=1,no=1)_T2 Marke'!A4,'60lb(ni=1,no=1_T1)'!A4,'60lb(ni=1,no=1_T3)'!A4)</f>
        <v>420.86020548474335</v>
      </c>
      <c r="B5" s="10">
        <f>AVERAGE('60lb(ni=1,no=1)_T2 Marke'!B4,'60lb(ni=1,no=1_T1)'!B4,'60lb(ni=1,no=1_T3)'!B4)</f>
        <v>7.3333333333333334E-2</v>
      </c>
      <c r="C5" s="11">
        <f>_xlfn.STDEV.P('60lb(ni=1,no=1)_T2 Marke'!B4,'60lb(ni=1,no=1_T1)'!B4,'60lb(ni=1,no=1_T3)'!B4)</f>
        <v>3.2998316455372226E-2</v>
      </c>
      <c r="D5" s="10">
        <f>AVERAGE('60lb(ni=1,no=1)_T2 Marke'!C4,'60lb(ni=1,no=1_T1)'!C4,'60lb(ni=1,no=1_T3)'!C4)</f>
        <v>26.726781513305514</v>
      </c>
      <c r="E5" s="11">
        <f>_xlfn.STDEV.P('60lb(ni=1,no=1)_T2 Marke'!C4,'60lb(ni=1,no=1_T1)'!C4,'60lb(ni=1,no=1_T3)'!C4)</f>
        <v>3.0455328613392854</v>
      </c>
      <c r="F5" s="10">
        <f>AVERAGE('60lb(ni=1,no=1)_T2 Marke'!D4,'60lb(ni=1,no=1_T1)'!D4,'60lb(ni=1,no=1_T3)'!D4)</f>
        <v>227.64386936498229</v>
      </c>
      <c r="G5" s="11">
        <f>_xlfn.STDEV.P('60lb(ni=1,no=1)_T2 Marke'!D4,'60lb(ni=1,no=1_T1)'!D4,'60lb(ni=1,no=1_T3)'!D4)</f>
        <v>36.253008654344157</v>
      </c>
      <c r="H5" s="10">
        <f>AVERAGE('60lb(ni=1,no=1)_T2 Marke'!E4,'60lb(ni=1,no=1_T1)'!E4,'60lb(ni=1,no=1_T3)'!E4)</f>
        <v>31.391499576565622</v>
      </c>
      <c r="I5" s="11">
        <f>_xlfn.STDEV.P('60lb(ni=1,no=1)_T2 Marke'!E4,'60lb(ni=1,no=1_T1)'!E4,'60lb(ni=1,no=1_T3)'!E4)</f>
        <v>5.0594199403204581</v>
      </c>
      <c r="J5" s="10">
        <f>AVERAGE('60lb(ni=1,no=1)_T2 Marke'!F4,'60lb(ni=1,no=1_T1)'!F4,'60lb(ni=1,no=1_T3)'!F4)</f>
        <v>74.141208758787087</v>
      </c>
      <c r="K5" s="11">
        <f>_xlfn.STDEV.P('60lb(ni=1,no=1)_T2 Marke'!F4,'60lb(ni=1,no=1_T1)'!F4,'60lb(ni=1,no=1_T3)'!F4)</f>
        <v>16.613589102065699</v>
      </c>
    </row>
    <row r="6" spans="1:11" x14ac:dyDescent="0.25">
      <c r="A6" s="4">
        <f>AVERAGE('60lb(ni=1,no=1)_T2 Marke'!A5,'60lb(ni=1,no=1_T1)'!A5,'60lb(ni=1,no=1_T3)'!A5)</f>
        <v>410.86020548474335</v>
      </c>
      <c r="B6" s="10">
        <f>AVERAGE('60lb(ni=1,no=1)_T2 Marke'!B5,'60lb(ni=1,no=1_T1)'!B5,'60lb(ni=1,no=1_T3)'!B5)</f>
        <v>9.3333333333333338E-2</v>
      </c>
      <c r="C6" s="11">
        <f>_xlfn.STDEV.P('60lb(ni=1,no=1)_T2 Marke'!B5,'60lb(ni=1,no=1_T1)'!B5,'60lb(ni=1,no=1_T3)'!B5)</f>
        <v>4.7140452079103175E-2</v>
      </c>
      <c r="D6" s="10">
        <f>AVERAGE('60lb(ni=1,no=1)_T2 Marke'!C5,'60lb(ni=1,no=1_T1)'!C5,'60lb(ni=1,no=1_T3)'!C5)</f>
        <v>25.588278163391617</v>
      </c>
      <c r="E6" s="11">
        <f>_xlfn.STDEV.P('60lb(ni=1,no=1)_T2 Marke'!C5,'60lb(ni=1,no=1_T1)'!C5,'60lb(ni=1,no=1_T3)'!C5)</f>
        <v>2.434027941728846</v>
      </c>
      <c r="F6" s="10">
        <f>AVERAGE('60lb(ni=1,no=1)_T2 Marke'!D5,'60lb(ni=1,no=1_T1)'!D5,'60lb(ni=1,no=1_T3)'!D5)</f>
        <v>228.67768584753631</v>
      </c>
      <c r="G6" s="11">
        <f>_xlfn.STDEV.P('60lb(ni=1,no=1)_T2 Marke'!D5,'60lb(ni=1,no=1_T1)'!D5,'60lb(ni=1,no=1_T3)'!D5)</f>
        <v>36.967116995121032</v>
      </c>
      <c r="H6" s="10">
        <f>AVERAGE('60lb(ni=1,no=1)_T2 Marke'!E5,'60lb(ni=1,no=1_T1)'!E5,'60lb(ni=1,no=1_T3)'!E5)</f>
        <v>30.004248059316023</v>
      </c>
      <c r="I6" s="11">
        <f>_xlfn.STDEV.P('60lb(ni=1,no=1)_T2 Marke'!E5,'60lb(ni=1,no=1_T1)'!E5,'60lb(ni=1,no=1_T3)'!E5)</f>
        <v>4.4500579649997922</v>
      </c>
      <c r="J6" s="10">
        <f>AVERAGE('60lb(ni=1,no=1)_T2 Marke'!F5,'60lb(ni=1,no=1_T1)'!F5,'60lb(ni=1,no=1_T3)'!F5)</f>
        <v>61.148641798023839</v>
      </c>
      <c r="K6" s="11">
        <f>_xlfn.STDEV.P('60lb(ni=1,no=1)_T2 Marke'!F5,'60lb(ni=1,no=1_T1)'!F5,'60lb(ni=1,no=1_T3)'!F5)</f>
        <v>16.738944898298307</v>
      </c>
    </row>
    <row r="7" spans="1:11" x14ac:dyDescent="0.25">
      <c r="A7" s="4">
        <f>AVERAGE('60lb(ni=1,no=1)_T2 Marke'!A6,'60lb(ni=1,no=1_T1)'!A6,'60lb(ni=1,no=1_T3)'!A6)</f>
        <v>400.86020548474335</v>
      </c>
      <c r="B7" s="10">
        <f>AVERAGE('60lb(ni=1,no=1)_T2 Marke'!B6,'60lb(ni=1,no=1_T1)'!B6,'60lb(ni=1,no=1_T3)'!B6)</f>
        <v>0.11333333333333334</v>
      </c>
      <c r="C7" s="11">
        <f>_xlfn.STDEV.P('60lb(ni=1,no=1)_T2 Marke'!B6,'60lb(ni=1,no=1_T1)'!B6,'60lb(ni=1,no=1_T3)'!B6)</f>
        <v>6.1282587702834131E-2</v>
      </c>
      <c r="D7" s="10">
        <f>AVERAGE('60lb(ni=1,no=1)_T2 Marke'!C6,'60lb(ni=1,no=1_T1)'!C6,'60lb(ni=1,no=1_T3)'!C6)</f>
        <v>25.574497225419226</v>
      </c>
      <c r="E7" s="11">
        <f>_xlfn.STDEV.P('60lb(ni=1,no=1)_T2 Marke'!C6,'60lb(ni=1,no=1_T1)'!C6,'60lb(ni=1,no=1_T3)'!C6)</f>
        <v>3.6791646356428447</v>
      </c>
      <c r="F7" s="10">
        <f>AVERAGE('60lb(ni=1,no=1)_T2 Marke'!D6,'60lb(ni=1,no=1_T1)'!D6,'60lb(ni=1,no=1_T3)'!D6)</f>
        <v>228.7788039272134</v>
      </c>
      <c r="G7" s="11">
        <f>_xlfn.STDEV.P('60lb(ni=1,no=1)_T2 Marke'!D6,'60lb(ni=1,no=1_T1)'!D6,'60lb(ni=1,no=1_T3)'!D6)</f>
        <v>36.352443206593712</v>
      </c>
      <c r="H7" s="10">
        <f>AVERAGE('60lb(ni=1,no=1)_T2 Marke'!E6,'60lb(ni=1,no=1_T1)'!E6,'60lb(ni=1,no=1_T3)'!E6)</f>
        <v>29.315900171824563</v>
      </c>
      <c r="I7" s="11">
        <f>_xlfn.STDEV.P('60lb(ni=1,no=1)_T2 Marke'!E6,'60lb(ni=1,no=1_T1)'!E6,'60lb(ni=1,no=1_T3)'!E6)</f>
        <v>4.9839132332084377</v>
      </c>
      <c r="J7" s="10">
        <f>AVERAGE('60lb(ni=1,no=1)_T2 Marke'!F6,'60lb(ni=1,no=1_T1)'!F6,'60lb(ni=1,no=1_T3)'!F6)</f>
        <v>57.844045719093231</v>
      </c>
      <c r="K7" s="11">
        <f>_xlfn.STDEV.P('60lb(ni=1,no=1)_T2 Marke'!F6,'60lb(ni=1,no=1_T1)'!F6,'60lb(ni=1,no=1_T3)'!F6)</f>
        <v>17.011513723040682</v>
      </c>
    </row>
    <row r="8" spans="1:11" x14ac:dyDescent="0.25">
      <c r="A8" s="4">
        <f>AVERAGE('60lb(ni=1,no=1)_T2 Marke'!A7,'60lb(ni=1,no=1_T1)'!A7,'60lb(ni=1,no=1_T3)'!A7)</f>
        <v>390.86020548474335</v>
      </c>
      <c r="B8" s="10">
        <f>AVERAGE('60lb(ni=1,no=1)_T2 Marke'!B7,'60lb(ni=1,no=1_T1)'!B7,'60lb(ni=1,no=1_T3)'!B7)</f>
        <v>0.13666666666666669</v>
      </c>
      <c r="C8" s="11">
        <f>_xlfn.STDEV.P('60lb(ni=1,no=1)_T2 Marke'!B7,'60lb(ni=1,no=1_T1)'!B7,'60lb(ni=1,no=1_T3)'!B7)</f>
        <v>8.013876853447538E-2</v>
      </c>
      <c r="D8" s="10">
        <f>AVERAGE('60lb(ni=1,no=1)_T2 Marke'!C7,'60lb(ni=1,no=1_T1)'!C7,'60lb(ni=1,no=1_T3)'!C7)</f>
        <v>23.885441863578503</v>
      </c>
      <c r="E8" s="11">
        <f>_xlfn.STDEV.P('60lb(ni=1,no=1)_T2 Marke'!C7,'60lb(ni=1,no=1_T1)'!C7,'60lb(ni=1,no=1_T3)'!C7)</f>
        <v>2.8687418924113981</v>
      </c>
      <c r="F8" s="10">
        <f>AVERAGE('60lb(ni=1,no=1)_T2 Marke'!D7,'60lb(ni=1,no=1_T1)'!D7,'60lb(ni=1,no=1_T3)'!D7)</f>
        <v>229.46135394432358</v>
      </c>
      <c r="G8" s="11">
        <f>_xlfn.STDEV.P('60lb(ni=1,no=1)_T2 Marke'!D7,'60lb(ni=1,no=1_T1)'!D7,'60lb(ni=1,no=1_T3)'!D7)</f>
        <v>36.405850221958843</v>
      </c>
      <c r="H8" s="10">
        <f>AVERAGE('60lb(ni=1,no=1)_T2 Marke'!E7,'60lb(ni=1,no=1_T1)'!E7,'60lb(ni=1,no=1_T3)'!E7)</f>
        <v>27.815617954537554</v>
      </c>
      <c r="I8" s="11">
        <f>_xlfn.STDEV.P('60lb(ni=1,no=1)_T2 Marke'!E7,'60lb(ni=1,no=1_T1)'!E7,'60lb(ni=1,no=1_T3)'!E7)</f>
        <v>4.8847494396485667</v>
      </c>
      <c r="J8" s="10">
        <f>AVERAGE('60lb(ni=1,no=1)_T2 Marke'!F7,'60lb(ni=1,no=1_T1)'!F7,'60lb(ni=1,no=1_T3)'!F7)</f>
        <v>48.81792955706365</v>
      </c>
      <c r="K8" s="11">
        <f>_xlfn.STDEV.P('60lb(ni=1,no=1)_T2 Marke'!F7,'60lb(ni=1,no=1_T1)'!F7,'60lb(ni=1,no=1_T3)'!F7)</f>
        <v>16.077324535188392</v>
      </c>
    </row>
    <row r="9" spans="1:11" x14ac:dyDescent="0.25">
      <c r="A9" s="4">
        <f>AVERAGE('60lb(ni=1,no=1)_T2 Marke'!A8,'60lb(ni=1,no=1_T1)'!A8,'60lb(ni=1,no=1_T3)'!A8)</f>
        <v>380.86020548474335</v>
      </c>
      <c r="B9" s="10">
        <f>AVERAGE('60lb(ni=1,no=1)_T2 Marke'!B8,'60lb(ni=1,no=1_T1)'!B8,'60lb(ni=1,no=1_T3)'!B8)</f>
        <v>0.16666666666666666</v>
      </c>
      <c r="C9" s="11">
        <f>_xlfn.STDEV.P('60lb(ni=1,no=1)_T2 Marke'!B8,'60lb(ni=1,no=1_T1)'!B8,'60lb(ni=1,no=1_T3)'!B8)</f>
        <v>0.10842303978193729</v>
      </c>
      <c r="D9" s="10">
        <f>AVERAGE('60lb(ni=1,no=1)_T2 Marke'!C8,'60lb(ni=1,no=1_T1)'!C8,'60lb(ni=1,no=1_T3)'!C8)</f>
        <v>24.365791966061568</v>
      </c>
      <c r="E9" s="11">
        <f>_xlfn.STDEV.P('60lb(ni=1,no=1)_T2 Marke'!C8,'60lb(ni=1,no=1_T1)'!C8,'60lb(ni=1,no=1_T3)'!C8)</f>
        <v>4.012010836010095</v>
      </c>
      <c r="F9" s="10">
        <f>AVERAGE('60lb(ni=1,no=1)_T2 Marke'!D8,'60lb(ni=1,no=1_T1)'!D8,'60lb(ni=1,no=1_T3)'!D8)</f>
        <v>229.68897455124059</v>
      </c>
      <c r="G9" s="11">
        <f>_xlfn.STDEV.P('60lb(ni=1,no=1)_T2 Marke'!D8,'60lb(ni=1,no=1_T1)'!D8,'60lb(ni=1,no=1_T3)'!D8)</f>
        <v>36.984729439098295</v>
      </c>
      <c r="H9" s="10">
        <f>AVERAGE('60lb(ni=1,no=1)_T2 Marke'!E8,'60lb(ni=1,no=1_T1)'!E8,'60lb(ni=1,no=1_T3)'!E8)</f>
        <v>27.186673810081302</v>
      </c>
      <c r="I9" s="11">
        <f>_xlfn.STDEV.P('60lb(ni=1,no=1)_T2 Marke'!E8,'60lb(ni=1,no=1_T1)'!E8,'60lb(ni=1,no=1_T3)'!E8)</f>
        <v>5.1725296821592028</v>
      </c>
      <c r="J9" s="10">
        <f>AVERAGE('60lb(ni=1,no=1)_T2 Marke'!F8,'60lb(ni=1,no=1_T1)'!F8,'60lb(ni=1,no=1_T3)'!F8)</f>
        <v>44.48167976755775</v>
      </c>
      <c r="K9" s="11">
        <f>_xlfn.STDEV.P('60lb(ni=1,no=1)_T2 Marke'!F8,'60lb(ni=1,no=1_T1)'!F8,'60lb(ni=1,no=1_T3)'!F8)</f>
        <v>14.381252040406515</v>
      </c>
    </row>
    <row r="10" spans="1:11" x14ac:dyDescent="0.25">
      <c r="A10" s="4">
        <f>AVERAGE('60lb(ni=1,no=1)_T2 Marke'!A9,'60lb(ni=1,no=1_T1)'!A9,'60lb(ni=1,no=1_T3)'!A9)</f>
        <v>370.86020548474335</v>
      </c>
      <c r="B10" s="10">
        <f>AVERAGE('60lb(ni=1,no=1)_T2 Marke'!B9,'60lb(ni=1,no=1_T1)'!B9,'60lb(ni=1,no=1_T3)'!B9)</f>
        <v>0.22666666666666668</v>
      </c>
      <c r="C10" s="11">
        <f>_xlfn.STDEV.P('60lb(ni=1,no=1)_T2 Marke'!B9,'60lb(ni=1,no=1_T1)'!B9,'60lb(ni=1,no=1_T3)'!B9)</f>
        <v>0.16499158227686109</v>
      </c>
      <c r="D10" s="10">
        <f>AVERAGE('60lb(ni=1,no=1)_T2 Marke'!C9,'60lb(ni=1,no=1_T1)'!C9,'60lb(ni=1,no=1_T3)'!C9)</f>
        <v>23.312123257037701</v>
      </c>
      <c r="E10" s="11">
        <f>_xlfn.STDEV.P('60lb(ni=1,no=1)_T2 Marke'!C9,'60lb(ni=1,no=1_T1)'!C9,'60lb(ni=1,no=1_T3)'!C9)</f>
        <v>4.142954397319869</v>
      </c>
      <c r="F10" s="10">
        <f>AVERAGE('60lb(ni=1,no=1)_T2 Marke'!D9,'60lb(ni=1,no=1_T1)'!D9,'60lb(ni=1,no=1_T3)'!D9)</f>
        <v>230.17216120724541</v>
      </c>
      <c r="G10" s="11">
        <f>_xlfn.STDEV.P('60lb(ni=1,no=1)_T2 Marke'!D9,'60lb(ni=1,no=1_T1)'!D9,'60lb(ni=1,no=1_T3)'!D9)</f>
        <v>35.952773023129836</v>
      </c>
      <c r="H10" s="10">
        <f>AVERAGE('60lb(ni=1,no=1)_T2 Marke'!E9,'60lb(ni=1,no=1_T1)'!E9,'60lb(ni=1,no=1_T3)'!E9)</f>
        <v>25.427445513118112</v>
      </c>
      <c r="I10" s="11">
        <f>_xlfn.STDEV.P('60lb(ni=1,no=1)_T2 Marke'!E9,'60lb(ni=1,no=1_T1)'!E9,'60lb(ni=1,no=1_T3)'!E9)</f>
        <v>5.0942282424399057</v>
      </c>
      <c r="J10" s="10">
        <f>AVERAGE('60lb(ni=1,no=1)_T2 Marke'!F9,'60lb(ni=1,no=1_T1)'!F9,'60lb(ni=1,no=1_T3)'!F9)</f>
        <v>37.053924314068105</v>
      </c>
      <c r="K10" s="11">
        <f>_xlfn.STDEV.P('60lb(ni=1,no=1)_T2 Marke'!F9,'60lb(ni=1,no=1_T1)'!F9,'60lb(ni=1,no=1_T3)'!F9)</f>
        <v>8.8833278459135325</v>
      </c>
    </row>
    <row r="11" spans="1:11" x14ac:dyDescent="0.25">
      <c r="A11" s="4">
        <f>AVERAGE('60lb(ni=1,no=1)_T2 Marke'!A10,'60lb(ni=1,no=1_T1)'!A10,'60lb(ni=1,no=1_T3)'!A10)</f>
        <v>360.86020548474335</v>
      </c>
      <c r="B11" s="10">
        <f>AVERAGE('60lb(ni=1,no=1)_T2 Marke'!B10,'60lb(ni=1,no=1_T1)'!B10,'60lb(ni=1,no=1_T3)'!B10)</f>
        <v>0.24333333333333332</v>
      </c>
      <c r="C11" s="11">
        <f>_xlfn.STDEV.P('60lb(ni=1,no=1)_T2 Marke'!B10,'60lb(ni=1,no=1_T1)'!B10,'60lb(ni=1,no=1_T3)'!B10)</f>
        <v>0.1885618083164127</v>
      </c>
      <c r="D11" s="10">
        <f>AVERAGE('60lb(ni=1,no=1)_T2 Marke'!C10,'60lb(ni=1,no=1_T1)'!C10,'60lb(ni=1,no=1_T3)'!C10)</f>
        <v>22.625178947143439</v>
      </c>
      <c r="E11" s="11">
        <f>_xlfn.STDEV.P('60lb(ni=1,no=1)_T2 Marke'!C10,'60lb(ni=1,no=1_T1)'!C10,'60lb(ni=1,no=1_T3)'!C10)</f>
        <v>3.8238384541262631</v>
      </c>
      <c r="F11" s="10">
        <f>AVERAGE('60lb(ni=1,no=1)_T2 Marke'!D10,'60lb(ni=1,no=1_T1)'!D10,'60lb(ni=1,no=1_T3)'!D10)</f>
        <v>231.1735311659011</v>
      </c>
      <c r="G11" s="11">
        <f>_xlfn.STDEV.P('60lb(ni=1,no=1)_T2 Marke'!D10,'60lb(ni=1,no=1_T1)'!D10,'60lb(ni=1,no=1_T3)'!D10)</f>
        <v>37.297264705373721</v>
      </c>
      <c r="H11" s="10">
        <f>AVERAGE('60lb(ni=1,no=1)_T2 Marke'!E10,'60lb(ni=1,no=1_T1)'!E10,'60lb(ni=1,no=1_T3)'!E10)</f>
        <v>23.995405259097549</v>
      </c>
      <c r="I11" s="11">
        <f>_xlfn.STDEV.P('60lb(ni=1,no=1)_T2 Marke'!E10,'60lb(ni=1,no=1_T1)'!E10,'60lb(ni=1,no=1_T3)'!E10)</f>
        <v>5.1060385289527677</v>
      </c>
      <c r="J11" s="10">
        <f>AVERAGE('60lb(ni=1,no=1)_T2 Marke'!F10,'60lb(ni=1,no=1_T1)'!F10,'60lb(ni=1,no=1_T3)'!F10)</f>
        <v>33.679741850616331</v>
      </c>
      <c r="K11" s="11">
        <f>_xlfn.STDEV.P('60lb(ni=1,no=1)_T2 Marke'!F10,'60lb(ni=1,no=1_T1)'!F10,'60lb(ni=1,no=1_T3)'!F10)</f>
        <v>7.0070031528639944</v>
      </c>
    </row>
    <row r="12" spans="1:11" x14ac:dyDescent="0.25">
      <c r="A12" s="4">
        <f>AVERAGE('60lb(ni=1,no=1)_T2 Marke'!A11,'60lb(ni=1,no=1_T1)'!A11,'60lb(ni=1,no=1_T3)'!A11)</f>
        <v>350.86020548474335</v>
      </c>
      <c r="B12" s="10">
        <f>AVERAGE('60lb(ni=1,no=1)_T2 Marke'!B11,'60lb(ni=1,no=1_T1)'!B11,'60lb(ni=1,no=1_T3)'!B11)</f>
        <v>0.27</v>
      </c>
      <c r="C12" s="11">
        <f>_xlfn.STDEV.P('60lb(ni=1,no=1)_T2 Marke'!B11,'60lb(ni=1,no=1_T1)'!B11,'60lb(ni=1,no=1_T3)'!B11)</f>
        <v>0.24041630560342611</v>
      </c>
      <c r="D12" s="10">
        <f>AVERAGE('60lb(ni=1,no=1)_T2 Marke'!C11,'60lb(ni=1,no=1_T1)'!C11,'60lb(ni=1,no=1_T3)'!C11)</f>
        <v>22.133764779752408</v>
      </c>
      <c r="E12" s="11">
        <f>_xlfn.STDEV.P('60lb(ni=1,no=1)_T2 Marke'!C11,'60lb(ni=1,no=1_T1)'!C11,'60lb(ni=1,no=1_T3)'!C11)</f>
        <v>4.4395295018892993</v>
      </c>
      <c r="F12" s="10">
        <f>AVERAGE('60lb(ni=1,no=1)_T2 Marke'!D11,'60lb(ni=1,no=1_T1)'!D11,'60lb(ni=1,no=1_T3)'!D11)</f>
        <v>231.47359065493296</v>
      </c>
      <c r="G12" s="11">
        <f>_xlfn.STDEV.P('60lb(ni=1,no=1)_T2 Marke'!D11,'60lb(ni=1,no=1_T1)'!D11,'60lb(ni=1,no=1_T3)'!D11)</f>
        <v>36.852942772215414</v>
      </c>
      <c r="H12" s="10">
        <f>AVERAGE('60lb(ni=1,no=1)_T2 Marke'!E11,'60lb(ni=1,no=1_T1)'!E11,'60lb(ni=1,no=1_T3)'!E11)</f>
        <v>22.565156854501797</v>
      </c>
      <c r="I12" s="11">
        <f>_xlfn.STDEV.P('60lb(ni=1,no=1)_T2 Marke'!E11,'60lb(ni=1,no=1_T1)'!E11,'60lb(ni=1,no=1_T3)'!E11)</f>
        <v>5.0940024533452766</v>
      </c>
      <c r="J12" s="10">
        <f>AVERAGE('60lb(ni=1,no=1)_T2 Marke'!F11,'60lb(ni=1,no=1_T1)'!F11,'60lb(ni=1,no=1_T3)'!F11)</f>
        <v>28.784408354895266</v>
      </c>
      <c r="K12" s="11">
        <f>_xlfn.STDEV.P('60lb(ni=1,no=1)_T2 Marke'!F11,'60lb(ni=1,no=1_T1)'!F11,'60lb(ni=1,no=1_T3)'!F11)</f>
        <v>7.2004676101590945</v>
      </c>
    </row>
    <row r="13" spans="1:11" x14ac:dyDescent="0.25">
      <c r="A13" s="4">
        <f>AVERAGE('60lb(ni=1,no=1)_T2 Marke'!A12,'60lb(ni=1,no=1_T1)'!A12,'60lb(ni=1,no=1_T3)'!A12)</f>
        <v>340.86020548474335</v>
      </c>
      <c r="B13" s="10">
        <f>AVERAGE('60lb(ni=1,no=1)_T2 Marke'!B12,'60lb(ni=1,no=1_T1)'!B12,'60lb(ni=1,no=1_T3)'!B12)</f>
        <v>0.31666666666666665</v>
      </c>
      <c r="C13" s="11">
        <f>_xlfn.STDEV.P('60lb(ni=1,no=1)_T2 Marke'!B12,'60lb(ni=1,no=1_T1)'!B12,'60lb(ni=1,no=1_T3)'!B12)</f>
        <v>0.28546258754675524</v>
      </c>
      <c r="D13" s="10">
        <f>AVERAGE('60lb(ni=1,no=1)_T2 Marke'!C12,'60lb(ni=1,no=1_T1)'!C12,'60lb(ni=1,no=1_T3)'!C12)</f>
        <v>21.699233759043707</v>
      </c>
      <c r="E13" s="11">
        <f>_xlfn.STDEV.P('60lb(ni=1,no=1)_T2 Marke'!C12,'60lb(ni=1,no=1_T1)'!C12,'60lb(ni=1,no=1_T3)'!C12)</f>
        <v>5.1114685784362655</v>
      </c>
      <c r="F13" s="10">
        <f>AVERAGE('60lb(ni=1,no=1)_T2 Marke'!D12,'60lb(ni=1,no=1_T1)'!D12,'60lb(ni=1,no=1_T3)'!D12)</f>
        <v>232.28272626465809</v>
      </c>
      <c r="G13" s="11">
        <f>_xlfn.STDEV.P('60lb(ni=1,no=1)_T2 Marke'!D12,'60lb(ni=1,no=1_T1)'!D12,'60lb(ni=1,no=1_T3)'!D12)</f>
        <v>35.990521917442742</v>
      </c>
      <c r="H13" s="10">
        <f>AVERAGE('60lb(ni=1,no=1)_T2 Marke'!E12,'60lb(ni=1,no=1_T1)'!E12,'60lb(ni=1,no=1_T3)'!E12)</f>
        <v>21.901399199385889</v>
      </c>
      <c r="I13" s="11">
        <f>_xlfn.STDEV.P('60lb(ni=1,no=1)_T2 Marke'!E12,'60lb(ni=1,no=1_T1)'!E12,'60lb(ni=1,no=1_T3)'!E12)</f>
        <v>5.4285359866992104</v>
      </c>
      <c r="J13" s="10">
        <f>AVERAGE('60lb(ni=1,no=1)_T2 Marke'!F12,'60lb(ni=1,no=1_T1)'!F12,'60lb(ni=1,no=1_T3)'!F12)</f>
        <v>24.515625265500052</v>
      </c>
      <c r="K13" s="11">
        <f>_xlfn.STDEV.P('60lb(ni=1,no=1)_T2 Marke'!F12,'60lb(ni=1,no=1_T1)'!F12,'60lb(ni=1,no=1_T3)'!F12)</f>
        <v>7.8271418468167999</v>
      </c>
    </row>
    <row r="14" spans="1:11" x14ac:dyDescent="0.25">
      <c r="A14" s="4">
        <f>AVERAGE('60lb(ni=1,no=1)_T2 Marke'!A13,'60lb(ni=1,no=1_T1)'!A13,'60lb(ni=1,no=1_T3)'!A13)</f>
        <v>330.86020548474335</v>
      </c>
      <c r="B14" s="10">
        <f>AVERAGE('60lb(ni=1,no=1)_T2 Marke'!B13,'60lb(ni=1,no=1_T1)'!B13,'60lb(ni=1,no=1_T3)'!B13)</f>
        <v>0.34666666666666668</v>
      </c>
      <c r="C14" s="11">
        <f>_xlfn.STDEV.P('60lb(ni=1,no=1)_T2 Marke'!B13,'60lb(ni=1,no=1_T1)'!B13,'60lb(ni=1,no=1_T3)'!B13)</f>
        <v>0.30641293851417062</v>
      </c>
      <c r="D14" s="10">
        <f>AVERAGE('60lb(ni=1,no=1)_T2 Marke'!C13,'60lb(ni=1,no=1_T1)'!C13,'60lb(ni=1,no=1_T3)'!C13)</f>
        <v>19.772299364499116</v>
      </c>
      <c r="E14" s="11">
        <f>_xlfn.STDEV.P('60lb(ni=1,no=1)_T2 Marke'!C13,'60lb(ni=1,no=1_T1)'!C13,'60lb(ni=1,no=1_T3)'!C13)</f>
        <v>3.993021101382606</v>
      </c>
      <c r="F14" s="10">
        <f>AVERAGE('60lb(ni=1,no=1)_T2 Marke'!D13,'60lb(ni=1,no=1_T1)'!D13,'60lb(ni=1,no=1_T3)'!D13)</f>
        <v>232.1253913801946</v>
      </c>
      <c r="G14" s="11">
        <f>_xlfn.STDEV.P('60lb(ni=1,no=1)_T2 Marke'!D13,'60lb(ni=1,no=1_T1)'!D13,'60lb(ni=1,no=1_T3)'!D13)</f>
        <v>38.382928440937746</v>
      </c>
      <c r="H14" s="10">
        <f>AVERAGE('60lb(ni=1,no=1)_T2 Marke'!E13,'60lb(ni=1,no=1_T1)'!E13,'60lb(ni=1,no=1_T3)'!E13)</f>
        <v>20.96668247768271</v>
      </c>
      <c r="I14" s="11">
        <f>_xlfn.STDEV.P('60lb(ni=1,no=1)_T2 Marke'!E13,'60lb(ni=1,no=1_T1)'!E13,'60lb(ni=1,no=1_T3)'!E13)</f>
        <v>6.0126564043461963</v>
      </c>
      <c r="J14" s="10">
        <f>AVERAGE('60lb(ni=1,no=1)_T2 Marke'!F13,'60lb(ni=1,no=1_T1)'!F13,'60lb(ni=1,no=1_T3)'!F13)</f>
        <v>21.061437614413428</v>
      </c>
      <c r="K14" s="11">
        <f>_xlfn.STDEV.P('60lb(ni=1,no=1)_T2 Marke'!F13,'60lb(ni=1,no=1_T1)'!F13,'60lb(ni=1,no=1_T3)'!F13)</f>
        <v>6.4077034717267241</v>
      </c>
    </row>
    <row r="15" spans="1:11" ht="15.75" thickBot="1" x14ac:dyDescent="0.3">
      <c r="A15" s="5">
        <f>AVERAGE('60lb(ni=1,no=1)_T2 Marke'!A14,'60lb(ni=1,no=1_T1)'!A14,'60lb(ni=1,no=1_T3)'!A14)</f>
        <v>320.86020548474335</v>
      </c>
      <c r="B15" s="12">
        <f>AVERAGE('60lb(ni=1,no=1)_T2 Marke'!B14,'60lb(ni=1,no=1_T1)'!B14,'60lb(ni=1,no=1_T3)'!B14)</f>
        <v>0.40333333333333332</v>
      </c>
      <c r="C15" s="13">
        <f>_xlfn.STDEV.P('60lb(ni=1,no=1)_T2 Marke'!B14,'60lb(ni=1,no=1_T1)'!B14,'60lb(ni=1,no=1_T3)'!B14)</f>
        <v>0.35826743580118414</v>
      </c>
      <c r="D15" s="12">
        <f>AVERAGE('60lb(ni=1,no=1)_T2 Marke'!C14,'60lb(ni=1,no=1_T1)'!C14,'60lb(ni=1,no=1_T3)'!C14)</f>
        <v>19.385609352768451</v>
      </c>
      <c r="E15" s="13">
        <f>_xlfn.STDEV.P('60lb(ni=1,no=1)_T2 Marke'!C14,'60lb(ni=1,no=1_T1)'!C14,'60lb(ni=1,no=1_T3)'!C14)</f>
        <v>4.5104198977470125</v>
      </c>
      <c r="F15" s="12">
        <f>AVERAGE('60lb(ni=1,no=1)_T2 Marke'!D14,'60lb(ni=1,no=1_T1)'!D14,'60lb(ni=1,no=1_T3)'!D14)</f>
        <v>231.66471666944346</v>
      </c>
      <c r="G15" s="13">
        <f>_xlfn.STDEV.P('60lb(ni=1,no=1)_T2 Marke'!D14,'60lb(ni=1,no=1_T1)'!D14,'60lb(ni=1,no=1_T3)'!D14)</f>
        <v>37.802618937109834</v>
      </c>
      <c r="H15" s="12">
        <f>AVERAGE('60lb(ni=1,no=1)_T2 Marke'!E14,'60lb(ni=1,no=1_T1)'!E14,'60lb(ni=1,no=1_T3)'!E14)</f>
        <v>19.698637597113976</v>
      </c>
      <c r="I15" s="13">
        <f>_xlfn.STDEV.P('60lb(ni=1,no=1)_T2 Marke'!E14,'60lb(ni=1,no=1_T1)'!E14,'60lb(ni=1,no=1_T3)'!E14)</f>
        <v>6.0240938141736979</v>
      </c>
      <c r="J15" s="12">
        <f>AVERAGE('60lb(ni=1,no=1)_T2 Marke'!F14,'60lb(ni=1,no=1_T1)'!F14,'60lb(ni=1,no=1_T3)'!F14)</f>
        <v>18.708236869405841</v>
      </c>
      <c r="K15" s="13">
        <f>_xlfn.STDEV.P('60lb(ni=1,no=1)_T2 Marke'!F14,'60lb(ni=1,no=1_T1)'!F14,'60lb(ni=1,no=1_T3)'!F14)</f>
        <v>6.8071083041370599</v>
      </c>
    </row>
  </sheetData>
  <mergeCells count="5"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73554-58AF-44F5-9DDD-5E7AA5F91285}">
  <dimension ref="A1:F20"/>
  <sheetViews>
    <sheetView workbookViewId="0">
      <selection activeCell="J20" sqref="J20"/>
    </sheetView>
  </sheetViews>
  <sheetFormatPr defaultRowHeight="15" x14ac:dyDescent="0.25"/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413.70699999999999</v>
      </c>
      <c r="B2">
        <v>0</v>
      </c>
      <c r="C2">
        <v>26.6944507361269</v>
      </c>
      <c r="D2">
        <v>211.714609286523</v>
      </c>
      <c r="E2">
        <v>34.518686296715799</v>
      </c>
      <c r="F2">
        <v>65.758097395243482</v>
      </c>
    </row>
    <row r="3" spans="1:6" x14ac:dyDescent="0.25">
      <c r="A3">
        <v>403.70699999999999</v>
      </c>
      <c r="B3">
        <v>0.03</v>
      </c>
      <c r="C3">
        <v>26.234201585504</v>
      </c>
      <c r="D3">
        <v>212.117327293318</v>
      </c>
      <c r="E3">
        <v>33.310532276330697</v>
      </c>
      <c r="F3">
        <v>59.372140430351067</v>
      </c>
    </row>
    <row r="4" spans="1:6" x14ac:dyDescent="0.25">
      <c r="A4">
        <v>393.70699999999999</v>
      </c>
      <c r="B4">
        <v>0.05</v>
      </c>
      <c r="C4">
        <v>25.8890147225368</v>
      </c>
      <c r="D4">
        <v>212.635107587769</v>
      </c>
      <c r="E4">
        <v>32.102378255945602</v>
      </c>
      <c r="F4">
        <v>58.336579841449591</v>
      </c>
    </row>
    <row r="5" spans="1:6" x14ac:dyDescent="0.25">
      <c r="A5">
        <v>383.70699999999999</v>
      </c>
      <c r="B5">
        <v>0.06</v>
      </c>
      <c r="C5">
        <v>25.371234428086101</v>
      </c>
      <c r="D5">
        <v>212.98029445073601</v>
      </c>
      <c r="E5">
        <v>30.8942242355606</v>
      </c>
      <c r="F5">
        <v>52.12321630804076</v>
      </c>
    </row>
    <row r="6" spans="1:6" x14ac:dyDescent="0.25">
      <c r="A6">
        <v>373.70699999999999</v>
      </c>
      <c r="B6">
        <v>7.0000000000000007E-2</v>
      </c>
      <c r="C6">
        <v>25.026047565118901</v>
      </c>
      <c r="D6">
        <v>214.361041902605</v>
      </c>
      <c r="E6">
        <v>30.376443941109802</v>
      </c>
      <c r="F6">
        <v>49.361721404303502</v>
      </c>
    </row>
    <row r="7" spans="1:6" x14ac:dyDescent="0.25">
      <c r="A7">
        <v>363.70699999999999</v>
      </c>
      <c r="B7">
        <v>0.08</v>
      </c>
      <c r="C7">
        <v>24.508267270668199</v>
      </c>
      <c r="D7">
        <v>214.53363533408799</v>
      </c>
      <c r="E7">
        <v>28.305322763306901</v>
      </c>
      <c r="F7">
        <v>41.595016987542465</v>
      </c>
    </row>
    <row r="8" spans="1:6" x14ac:dyDescent="0.25">
      <c r="A8">
        <v>353.70699999999999</v>
      </c>
      <c r="B8">
        <v>0.09</v>
      </c>
      <c r="C8">
        <v>23.817893544733899</v>
      </c>
      <c r="D8">
        <v>214.70622876557201</v>
      </c>
      <c r="E8">
        <v>27.097168742921902</v>
      </c>
      <c r="F8">
        <v>37.280181200452994</v>
      </c>
    </row>
    <row r="9" spans="1:6" x14ac:dyDescent="0.25">
      <c r="A9">
        <v>343.70699999999999</v>
      </c>
      <c r="B9">
        <v>0.11</v>
      </c>
      <c r="C9">
        <v>23.472706681766699</v>
      </c>
      <c r="D9">
        <v>215.74178935447301</v>
      </c>
      <c r="E9">
        <v>25.5438278595696</v>
      </c>
      <c r="F9">
        <v>35.381653454133627</v>
      </c>
    </row>
    <row r="10" spans="1:6" x14ac:dyDescent="0.25">
      <c r="A10">
        <v>333.70699999999999</v>
      </c>
      <c r="B10">
        <v>0.11</v>
      </c>
      <c r="C10">
        <v>22.782332955832398</v>
      </c>
      <c r="D10">
        <v>215.914382785957</v>
      </c>
      <c r="E10">
        <v>23.6453001132503</v>
      </c>
      <c r="F10">
        <v>31.41200453001132</v>
      </c>
    </row>
    <row r="11" spans="1:6" x14ac:dyDescent="0.25">
      <c r="A11">
        <v>323.70699999999999</v>
      </c>
      <c r="B11">
        <v>0.1</v>
      </c>
      <c r="C11">
        <v>22.091959229898102</v>
      </c>
      <c r="D11">
        <v>215.396602491506</v>
      </c>
      <c r="E11">
        <v>22.2645526613817</v>
      </c>
      <c r="F11">
        <v>30.376443941109848</v>
      </c>
    </row>
    <row r="12" spans="1:6" x14ac:dyDescent="0.25">
      <c r="A12">
        <v>313.70699999999999</v>
      </c>
      <c r="B12">
        <v>0.1</v>
      </c>
      <c r="C12">
        <v>21.228992072480199</v>
      </c>
      <c r="D12">
        <v>217.46772366930901</v>
      </c>
      <c r="E12">
        <v>21.5741789354473</v>
      </c>
      <c r="F12">
        <v>26.234201585503961</v>
      </c>
    </row>
    <row r="13" spans="1:6" x14ac:dyDescent="0.25">
      <c r="A13">
        <v>303.70699999999999</v>
      </c>
      <c r="B13">
        <v>0.13</v>
      </c>
      <c r="C13">
        <v>20.883805209513</v>
      </c>
      <c r="D13">
        <v>212.28992072480199</v>
      </c>
      <c r="E13">
        <v>20.366024915062301</v>
      </c>
      <c r="F13">
        <v>24.853454133635328</v>
      </c>
    </row>
    <row r="14" spans="1:6" x14ac:dyDescent="0.25">
      <c r="A14">
        <v>293.70699999999999</v>
      </c>
      <c r="B14">
        <v>0.15</v>
      </c>
      <c r="C14">
        <v>19.503057757644399</v>
      </c>
      <c r="D14">
        <v>211.08176670441699</v>
      </c>
      <c r="E14">
        <v>19.503057757644399</v>
      </c>
      <c r="F14">
        <v>22.26455266138165</v>
      </c>
    </row>
    <row r="15" spans="1:6" x14ac:dyDescent="0.25">
      <c r="A15">
        <v>283.70699999999999</v>
      </c>
      <c r="B15">
        <v>0.17</v>
      </c>
      <c r="C15">
        <v>18.812684031710099</v>
      </c>
      <c r="D15">
        <v>211.426953567384</v>
      </c>
      <c r="E15">
        <v>18.2949037372593</v>
      </c>
      <c r="F15">
        <v>20.020838052095126</v>
      </c>
    </row>
    <row r="16" spans="1:6" x14ac:dyDescent="0.25">
      <c r="A16">
        <v>273.70699999999999</v>
      </c>
      <c r="B16">
        <v>0.18</v>
      </c>
      <c r="C16">
        <v>18.2949037372593</v>
      </c>
      <c r="D16">
        <v>208.83805209513</v>
      </c>
      <c r="E16">
        <v>16.396375990940001</v>
      </c>
      <c r="F16">
        <v>17.431936579841448</v>
      </c>
    </row>
    <row r="17" spans="1:6" x14ac:dyDescent="0.25">
      <c r="A17">
        <v>263.70699999999999</v>
      </c>
      <c r="B17">
        <v>0.2</v>
      </c>
      <c r="C17">
        <v>17.086749716874301</v>
      </c>
      <c r="D17">
        <v>207.112117780294</v>
      </c>
      <c r="E17">
        <v>15.1882</v>
      </c>
      <c r="F17">
        <v>16.051189127972819</v>
      </c>
    </row>
    <row r="18" spans="1:6" x14ac:dyDescent="0.25">
      <c r="A18">
        <v>253.70699999999999</v>
      </c>
      <c r="B18">
        <v>0.22</v>
      </c>
      <c r="C18">
        <v>17.2593431483579</v>
      </c>
      <c r="D18">
        <v>206.42174405436</v>
      </c>
      <c r="E18">
        <v>14.497848244620601</v>
      </c>
      <c r="F18">
        <v>14.670441676104186</v>
      </c>
    </row>
    <row r="19" spans="1:6" x14ac:dyDescent="0.25">
      <c r="A19">
        <v>243.70699999999999</v>
      </c>
      <c r="B19">
        <v>0.24</v>
      </c>
      <c r="C19">
        <v>15.188221970554901</v>
      </c>
      <c r="D19">
        <v>205.73137032842601</v>
      </c>
      <c r="E19">
        <v>14.325254813137001</v>
      </c>
      <c r="F19">
        <v>12.9445073612684</v>
      </c>
    </row>
    <row r="20" spans="1:6" x14ac:dyDescent="0.25">
      <c r="A20">
        <v>233.70699999999999</v>
      </c>
      <c r="B20">
        <v>0.26</v>
      </c>
      <c r="C20">
        <v>15.015628539071299</v>
      </c>
      <c r="D20">
        <v>205.386183465459</v>
      </c>
      <c r="E20">
        <v>12.7719139297848</v>
      </c>
      <c r="F20">
        <v>8.8022650056625125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4EE42-CB3E-40EF-9BAB-D399A7D7C3FD}">
  <dimension ref="A1:F23"/>
  <sheetViews>
    <sheetView workbookViewId="0">
      <selection activeCell="J19" sqref="J19"/>
    </sheetView>
  </sheetViews>
  <sheetFormatPr defaultRowHeight="15" x14ac:dyDescent="0.25"/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559.83699999999999</v>
      </c>
      <c r="B2">
        <v>0</v>
      </c>
      <c r="C2">
        <v>29.930062305295948</v>
      </c>
      <c r="D2">
        <v>278.35155763239868</v>
      </c>
      <c r="E2">
        <v>37.830965732087222</v>
      </c>
      <c r="F2">
        <v>107.43442054129075</v>
      </c>
    </row>
    <row r="3" spans="1:6" x14ac:dyDescent="0.25">
      <c r="A3">
        <v>549.83699999999999</v>
      </c>
      <c r="B3">
        <v>0.03</v>
      </c>
      <c r="C3">
        <v>30.768816199376939</v>
      </c>
      <c r="D3">
        <v>279.01623052959496</v>
      </c>
      <c r="E3">
        <v>38.036697819314632</v>
      </c>
      <c r="F3">
        <v>99.91371732593106</v>
      </c>
    </row>
    <row r="4" spans="1:6" x14ac:dyDescent="0.25">
      <c r="A4">
        <v>539.83699999999999</v>
      </c>
      <c r="B4">
        <v>0.05</v>
      </c>
      <c r="C4">
        <v>30.804423676012455</v>
      </c>
      <c r="D4">
        <v>277.6038006230529</v>
      </c>
      <c r="E4">
        <v>37.201900311526472</v>
      </c>
      <c r="F4">
        <v>97.09932916955816</v>
      </c>
    </row>
    <row r="5" spans="1:6" x14ac:dyDescent="0.25">
      <c r="A5">
        <v>529.83699999999999</v>
      </c>
      <c r="B5">
        <v>0.06</v>
      </c>
      <c r="C5">
        <v>28.671931464174449</v>
      </c>
      <c r="D5">
        <v>279.71255451713392</v>
      </c>
      <c r="E5">
        <v>34.954672897196254</v>
      </c>
      <c r="F5">
        <v>84.613786722183647</v>
      </c>
    </row>
    <row r="6" spans="1:6" x14ac:dyDescent="0.25">
      <c r="A6">
        <v>519.83699999999999</v>
      </c>
      <c r="B6">
        <v>7.0000000000000007E-2</v>
      </c>
      <c r="C6">
        <v>30.329657320872268</v>
      </c>
      <c r="D6">
        <v>278.72345794392521</v>
      </c>
      <c r="E6">
        <v>34.820155763239875</v>
      </c>
      <c r="F6">
        <v>81.582003238491765</v>
      </c>
    </row>
    <row r="7" spans="1:6" x14ac:dyDescent="0.25">
      <c r="A7">
        <v>509.83699999999999</v>
      </c>
      <c r="B7">
        <v>0.08</v>
      </c>
      <c r="C7">
        <v>27.04585669781931</v>
      </c>
      <c r="D7">
        <v>279.5978193146417</v>
      </c>
      <c r="E7">
        <v>33.53828660436136</v>
      </c>
      <c r="F7">
        <v>71.100023132084189</v>
      </c>
    </row>
    <row r="8" spans="1:6" x14ac:dyDescent="0.25">
      <c r="A8">
        <v>499.83699999999999</v>
      </c>
      <c r="B8">
        <v>0.09</v>
      </c>
      <c r="C8">
        <v>29.530467289719621</v>
      </c>
      <c r="D8">
        <v>280.57900311526475</v>
      </c>
      <c r="E8">
        <v>33.56598130841121</v>
      </c>
      <c r="F8">
        <v>64.55466111496645</v>
      </c>
    </row>
    <row r="9" spans="1:6" x14ac:dyDescent="0.25">
      <c r="A9">
        <v>489.83699999999999</v>
      </c>
      <c r="B9">
        <v>0.11</v>
      </c>
      <c r="C9">
        <v>28.303987538940806</v>
      </c>
      <c r="D9">
        <v>279.60968847352024</v>
      </c>
      <c r="E9">
        <v>31.607570093457937</v>
      </c>
      <c r="F9">
        <v>48.673051121906077</v>
      </c>
    </row>
    <row r="10" spans="1:6" x14ac:dyDescent="0.25">
      <c r="A10">
        <v>479.83699999999999</v>
      </c>
      <c r="B10">
        <v>0.11</v>
      </c>
      <c r="C10">
        <v>27.227850467289713</v>
      </c>
      <c r="D10">
        <v>282.52950155763233</v>
      </c>
      <c r="E10">
        <v>30.416697819314635</v>
      </c>
      <c r="F10">
        <v>43.167661346287289</v>
      </c>
    </row>
    <row r="11" spans="1:6" x14ac:dyDescent="0.25">
      <c r="A11">
        <v>469.83699999999999</v>
      </c>
      <c r="B11">
        <v>0.1</v>
      </c>
      <c r="C11">
        <v>27.591838006230525</v>
      </c>
      <c r="D11">
        <v>282.44641744548284</v>
      </c>
      <c r="E11">
        <v>28.948878504672894</v>
      </c>
      <c r="F11">
        <v>36.698681471200551</v>
      </c>
    </row>
    <row r="12" spans="1:6" x14ac:dyDescent="0.25">
      <c r="A12">
        <v>459.83699999999999</v>
      </c>
      <c r="B12">
        <v>0.13</v>
      </c>
      <c r="C12">
        <v>28.181339563862924</v>
      </c>
      <c r="D12">
        <v>281.86087227414322</v>
      </c>
      <c r="E12">
        <v>28.707538940809965</v>
      </c>
      <c r="F12">
        <v>33.126347443904692</v>
      </c>
    </row>
    <row r="13" spans="1:6" x14ac:dyDescent="0.25">
      <c r="A13">
        <v>449.83699999999999</v>
      </c>
      <c r="B13">
        <v>0.13</v>
      </c>
      <c r="C13">
        <v>24.011308411214948</v>
      </c>
      <c r="D13">
        <v>285.80143302180682</v>
      </c>
      <c r="E13">
        <v>28.612585669781925</v>
      </c>
      <c r="F13">
        <v>26.293083506823962</v>
      </c>
    </row>
    <row r="14" spans="1:6" x14ac:dyDescent="0.25">
      <c r="A14">
        <v>439.83699999999999</v>
      </c>
      <c r="B14">
        <v>0.15</v>
      </c>
      <c r="C14">
        <v>24.850062305295946</v>
      </c>
      <c r="D14">
        <v>284.68573208722734</v>
      </c>
      <c r="E14">
        <v>27.172461059190031</v>
      </c>
      <c r="F14">
        <v>24.677307425399025</v>
      </c>
    </row>
    <row r="15" spans="1:6" x14ac:dyDescent="0.25">
      <c r="A15">
        <v>429.83699999999999</v>
      </c>
      <c r="B15">
        <v>0.17</v>
      </c>
      <c r="C15">
        <v>25.380218068535825</v>
      </c>
      <c r="D15">
        <v>284.39691588785041</v>
      </c>
      <c r="E15">
        <v>27.140809968847346</v>
      </c>
      <c r="F15">
        <v>50.529724728198005</v>
      </c>
    </row>
    <row r="16" spans="1:6" x14ac:dyDescent="0.25">
      <c r="A16">
        <v>419.83699999999999</v>
      </c>
      <c r="B16">
        <v>0.18</v>
      </c>
      <c r="C16">
        <v>23.417850467289714</v>
      </c>
      <c r="D16">
        <v>286.7865732087227</v>
      </c>
      <c r="E16">
        <v>25.633426791277255</v>
      </c>
      <c r="F16">
        <v>21.328244274809155</v>
      </c>
    </row>
    <row r="17" spans="1:6" x14ac:dyDescent="0.25">
      <c r="A17">
        <v>409.83699999999999</v>
      </c>
      <c r="B17">
        <v>0.2</v>
      </c>
      <c r="C17">
        <v>24.371339563862925</v>
      </c>
      <c r="D17">
        <v>286.97647975077876</v>
      </c>
      <c r="E17">
        <v>23.829314641744542</v>
      </c>
      <c r="F17">
        <v>20.840573675688177</v>
      </c>
    </row>
    <row r="18" spans="1:6" x14ac:dyDescent="0.25">
      <c r="A18">
        <v>399.83699999999999</v>
      </c>
      <c r="B18">
        <v>0.22</v>
      </c>
      <c r="C18">
        <v>22.555358255451708</v>
      </c>
      <c r="D18">
        <v>288.67772585669775</v>
      </c>
      <c r="E18">
        <v>24.169563862928346</v>
      </c>
      <c r="F18">
        <v>17.7441591487393</v>
      </c>
    </row>
    <row r="19" spans="1:6" x14ac:dyDescent="0.25">
      <c r="A19">
        <v>389.83699999999999</v>
      </c>
      <c r="B19">
        <v>0.24</v>
      </c>
      <c r="C19">
        <v>21.293271028037381</v>
      </c>
      <c r="D19">
        <v>289.48878504672894</v>
      </c>
      <c r="E19">
        <v>21.977725856697816</v>
      </c>
      <c r="F19">
        <v>14.042563034929444</v>
      </c>
    </row>
    <row r="20" spans="1:6" x14ac:dyDescent="0.25">
      <c r="A20">
        <v>379.83699999999999</v>
      </c>
      <c r="B20">
        <v>0.26</v>
      </c>
      <c r="C20">
        <v>20.960934579439247</v>
      </c>
      <c r="D20">
        <v>291.3878504672897</v>
      </c>
      <c r="E20">
        <v>21.677040498442363</v>
      </c>
      <c r="F20">
        <v>14.14832292389544</v>
      </c>
    </row>
    <row r="21" spans="1:6" x14ac:dyDescent="0.25">
      <c r="A21">
        <v>369.83699999999999</v>
      </c>
      <c r="B21">
        <v>0.33</v>
      </c>
      <c r="C21">
        <v>19.580155763239873</v>
      </c>
      <c r="D21">
        <v>290.1297196261682</v>
      </c>
      <c r="E21">
        <v>20.509906542056072</v>
      </c>
      <c r="F21">
        <v>11.369188063844552</v>
      </c>
    </row>
    <row r="22" spans="1:6" x14ac:dyDescent="0.25">
      <c r="A22">
        <v>359.83699999999999</v>
      </c>
      <c r="B22">
        <v>0.39</v>
      </c>
      <c r="C22">
        <v>18.472367601246102</v>
      </c>
      <c r="D22">
        <v>292.4798130841121</v>
      </c>
      <c r="E22">
        <v>18.844267912772583</v>
      </c>
      <c r="F22">
        <v>10.32921582234559</v>
      </c>
    </row>
    <row r="23" spans="1:6" x14ac:dyDescent="0.25">
      <c r="A23">
        <v>349.83699999999999</v>
      </c>
      <c r="B23">
        <v>0.44</v>
      </c>
      <c r="C23">
        <v>17.90264797507788</v>
      </c>
      <c r="D23">
        <v>294.69934579439246</v>
      </c>
      <c r="E23">
        <v>16.929376947040495</v>
      </c>
      <c r="F23">
        <v>8.84857737682165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BB4D-1BE1-4D10-874F-C85F05D1FB9A}">
  <dimension ref="A1:F15"/>
  <sheetViews>
    <sheetView workbookViewId="0">
      <selection activeCell="I12" sqref="I12"/>
    </sheetView>
  </sheetViews>
  <sheetFormatPr defaultRowHeight="15" x14ac:dyDescent="0.25"/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349.03661645423</v>
      </c>
      <c r="B2">
        <v>0</v>
      </c>
      <c r="C2">
        <v>23.692931633835499</v>
      </c>
      <c r="D2">
        <v>193.516801853998</v>
      </c>
      <c r="E2">
        <v>28.578679026651201</v>
      </c>
      <c r="F2">
        <v>93.447276940903905</v>
      </c>
    </row>
    <row r="3" spans="1:6" x14ac:dyDescent="0.25">
      <c r="A3">
        <v>339.03661645423</v>
      </c>
      <c r="B3">
        <v>0.08</v>
      </c>
      <c r="C3">
        <v>23.634067207415999</v>
      </c>
      <c r="D3">
        <v>193.811123986095</v>
      </c>
      <c r="E3">
        <v>25.3705677867903</v>
      </c>
      <c r="F3">
        <v>89.768250289687202</v>
      </c>
    </row>
    <row r="4" spans="1:6" x14ac:dyDescent="0.25">
      <c r="A4">
        <v>329.03661645423</v>
      </c>
      <c r="B4">
        <v>0.12</v>
      </c>
      <c r="C4">
        <v>23.486906141367299</v>
      </c>
      <c r="D4">
        <v>192.69269988412501</v>
      </c>
      <c r="E4">
        <v>24.8702201622248</v>
      </c>
      <c r="F4">
        <v>66.987717265353496</v>
      </c>
    </row>
    <row r="5" spans="1:6" x14ac:dyDescent="0.25">
      <c r="A5">
        <v>319.03661645423</v>
      </c>
      <c r="B5">
        <v>0.16</v>
      </c>
      <c r="C5">
        <v>22.721668597914299</v>
      </c>
      <c r="D5">
        <v>193.34020857473899</v>
      </c>
      <c r="E5">
        <v>24.163847045191201</v>
      </c>
      <c r="F5">
        <v>46.708922363847101</v>
      </c>
    </row>
    <row r="6" spans="1:6" x14ac:dyDescent="0.25">
      <c r="A6">
        <v>309.03661645423</v>
      </c>
      <c r="B6">
        <v>0.2</v>
      </c>
      <c r="C6">
        <v>21.3677867902665</v>
      </c>
      <c r="D6">
        <v>193.25191193511</v>
      </c>
      <c r="E6">
        <v>22.751100811124001</v>
      </c>
      <c r="F6">
        <v>42.588412514484403</v>
      </c>
    </row>
    <row r="7" spans="1:6" x14ac:dyDescent="0.25">
      <c r="A7">
        <v>299.03661645423</v>
      </c>
      <c r="B7">
        <v>0.25</v>
      </c>
      <c r="C7">
        <v>20.102201622248</v>
      </c>
      <c r="D7">
        <v>194.25260718424099</v>
      </c>
      <c r="E7">
        <v>21.603244495944399</v>
      </c>
      <c r="F7">
        <v>33.758748551564302</v>
      </c>
    </row>
    <row r="8" spans="1:6" x14ac:dyDescent="0.25">
      <c r="A8">
        <v>289.03661645423</v>
      </c>
      <c r="B8">
        <v>0.32</v>
      </c>
      <c r="C8">
        <v>19.7490150637312</v>
      </c>
      <c r="D8">
        <v>193.78169177288501</v>
      </c>
      <c r="E8">
        <v>20.896871378910799</v>
      </c>
      <c r="F8">
        <v>31.610196987253801</v>
      </c>
    </row>
    <row r="9" spans="1:6" x14ac:dyDescent="0.25">
      <c r="A9">
        <v>279.03661645423</v>
      </c>
      <c r="B9">
        <v>0.46</v>
      </c>
      <c r="C9">
        <v>18.159675550405598</v>
      </c>
      <c r="D9">
        <v>195.16500579374301</v>
      </c>
      <c r="E9">
        <v>19.130938586326799</v>
      </c>
      <c r="F9">
        <v>27.107068366164601</v>
      </c>
    </row>
    <row r="10" spans="1:6" x14ac:dyDescent="0.25">
      <c r="A10">
        <v>269.03661645423</v>
      </c>
      <c r="B10">
        <v>0.51</v>
      </c>
      <c r="C10">
        <v>17.865353418308199</v>
      </c>
      <c r="D10">
        <v>195.07670915411401</v>
      </c>
      <c r="E10">
        <v>17.9242178447277</v>
      </c>
      <c r="F10">
        <v>26.459559675550398</v>
      </c>
    </row>
    <row r="11" spans="1:6" x14ac:dyDescent="0.25">
      <c r="A11">
        <v>259.03661645423</v>
      </c>
      <c r="B11">
        <v>0.61</v>
      </c>
      <c r="C11">
        <v>16.717497103128601</v>
      </c>
      <c r="D11">
        <v>196.57775202780999</v>
      </c>
      <c r="E11">
        <v>16.482039397450801</v>
      </c>
      <c r="F11">
        <v>19.278099652375399</v>
      </c>
    </row>
    <row r="12" spans="1:6" x14ac:dyDescent="0.25">
      <c r="A12">
        <v>249.03661645423</v>
      </c>
      <c r="B12">
        <v>0.72</v>
      </c>
      <c r="C12">
        <v>15.687369640788001</v>
      </c>
      <c r="D12">
        <v>197.519582850522</v>
      </c>
      <c r="E12">
        <v>15.4224797219004</v>
      </c>
      <c r="F12">
        <v>14.186326767091501</v>
      </c>
    </row>
    <row r="13" spans="1:6" x14ac:dyDescent="0.25">
      <c r="A13">
        <v>239.03661645423</v>
      </c>
      <c r="B13">
        <v>0.78</v>
      </c>
      <c r="C13">
        <v>14.421784472769399</v>
      </c>
      <c r="D13">
        <v>198.284820393975</v>
      </c>
      <c r="E13">
        <v>13.9214368482039</v>
      </c>
      <c r="F13">
        <v>12.037775202781001</v>
      </c>
    </row>
    <row r="14" spans="1:6" x14ac:dyDescent="0.25">
      <c r="A14">
        <v>229.03661645423</v>
      </c>
      <c r="B14">
        <v>0.91</v>
      </c>
      <c r="C14">
        <v>13.803707995365</v>
      </c>
      <c r="D14">
        <v>199.22665121668601</v>
      </c>
      <c r="E14">
        <v>12.420393974507499</v>
      </c>
      <c r="F14">
        <v>9.1828505214368494</v>
      </c>
    </row>
    <row r="15" spans="1:6" x14ac:dyDescent="0.25">
      <c r="A15">
        <v>219.03661645423</v>
      </c>
      <c r="B15">
        <v>1.2</v>
      </c>
      <c r="C15">
        <v>13.5682502896871</v>
      </c>
      <c r="D15">
        <v>200.02132097334899</v>
      </c>
      <c r="E15">
        <v>10.3601390498262</v>
      </c>
      <c r="F15">
        <v>6.6811123986094998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F951AE-E697-47A7-B9F9-3476C074C6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60lb(ni=1,no=1)_T2 Marke</vt:lpstr>
      <vt:lpstr>60lb(ni=1,no=1_T1)</vt:lpstr>
      <vt:lpstr>60lb(ni=1,no=1_T3)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Akibul Islam</dc:creator>
  <cp:lastModifiedBy>Md. Akibul Islam</cp:lastModifiedBy>
  <dcterms:created xsi:type="dcterms:W3CDTF">2026-05-13T18:13:26Z</dcterms:created>
  <dcterms:modified xsi:type="dcterms:W3CDTF">2026-05-13T19:47:36Z</dcterms:modified>
</cp:coreProperties>
</file>