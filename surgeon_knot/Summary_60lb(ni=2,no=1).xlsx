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UCLA\Knot\Test data - Modified\Surgeon Knot\With Standard Deviation\"/>
    </mc:Choice>
  </mc:AlternateContent>
  <xr:revisionPtr revIDLastSave="0" documentId="13_ncr:1_{9A6BB476-F29B-4064-9095-E71A13CD473D}" xr6:coauthVersionLast="47" xr6:coauthVersionMax="47" xr10:uidLastSave="{00000000-0000-0000-0000-000000000000}"/>
  <bookViews>
    <workbookView xWindow="28680" yWindow="-120" windowWidth="29040" windowHeight="15720" xr2:uid="{778308DE-EE87-45D1-8653-0828AEFA584A}"/>
  </bookViews>
  <sheets>
    <sheet name="Summary" sheetId="5" r:id="rId1"/>
    <sheet name="60lb(ni=2,no=1)_T2 Marke" sheetId="1" r:id="rId2"/>
    <sheet name="60lb(ni=2,no=1_T1)" sheetId="4" r:id="rId3"/>
    <sheet name="60lb(ni=2,no=1_T3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" i="5" l="1"/>
  <c r="B17" i="5"/>
  <c r="C17" i="5"/>
  <c r="D17" i="5"/>
  <c r="E17" i="5"/>
  <c r="F17" i="5"/>
  <c r="G17" i="5"/>
  <c r="H17" i="5"/>
  <c r="I17" i="5"/>
  <c r="J17" i="5"/>
  <c r="K17" i="5"/>
  <c r="A18" i="5"/>
  <c r="B18" i="5"/>
  <c r="C18" i="5"/>
  <c r="D18" i="5"/>
  <c r="E18" i="5"/>
  <c r="F18" i="5"/>
  <c r="G18" i="5"/>
  <c r="H18" i="5"/>
  <c r="I18" i="5"/>
  <c r="J18" i="5"/>
  <c r="K18" i="5"/>
  <c r="A19" i="5"/>
  <c r="B19" i="5"/>
  <c r="C19" i="5"/>
  <c r="D19" i="5"/>
  <c r="E19" i="5"/>
  <c r="F19" i="5"/>
  <c r="G19" i="5"/>
  <c r="H19" i="5"/>
  <c r="I19" i="5"/>
  <c r="J19" i="5"/>
  <c r="K19" i="5"/>
  <c r="A20" i="5"/>
  <c r="B20" i="5"/>
  <c r="C20" i="5"/>
  <c r="D20" i="5"/>
  <c r="E20" i="5"/>
  <c r="F20" i="5"/>
  <c r="G20" i="5"/>
  <c r="H20" i="5"/>
  <c r="I20" i="5"/>
  <c r="J20" i="5"/>
  <c r="K20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F5904-2ED3-4DDC-AD85-FD7F0BB09138}" keepAlive="1" name="Query - 30lb(ni=1,no=1_T1)" description="Connection to the '30lb(ni=1,no=1_T1)' query in the workbook." type="5" refreshedVersion="0" background="1">
    <dbPr connection="Provider=Microsoft.Mashup.OleDb.1;Data Source=$Workbook$;Location=&quot;30lb(ni=1,no=1_T1)&quot;;Extended Properties=&quot;&quot;" command="SELECT * FROM [30lb(ni=1,no=1_T1)]"/>
  </connection>
</connections>
</file>

<file path=xl/sharedStrings.xml><?xml version="1.0" encoding="utf-8"?>
<sst xmlns="http://schemas.openxmlformats.org/spreadsheetml/2006/main" count="34" uniqueCount="8">
  <si>
    <t>F (N)</t>
  </si>
  <si>
    <t>L_bi (mm)</t>
  </si>
  <si>
    <t>L_li (mm)</t>
  </si>
  <si>
    <t>L_bo (mm)</t>
  </si>
  <si>
    <t>R_bi (mm)</t>
  </si>
  <si>
    <t>e(mm)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</si>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</sst>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157A-7AAC-411D-A08A-5424BB73013D}">
  <dimension ref="A1:K20"/>
  <sheetViews>
    <sheetView tabSelected="1" workbookViewId="0">
      <selection activeCell="N8" sqref="N8"/>
    </sheetView>
  </sheetViews>
  <sheetFormatPr defaultRowHeight="15" x14ac:dyDescent="0.25"/>
  <sheetData>
    <row r="1" spans="1:11" x14ac:dyDescent="0.25">
      <c r="A1" s="7" t="s">
        <v>5</v>
      </c>
      <c r="B1" s="8" t="s">
        <v>0</v>
      </c>
      <c r="C1" s="9"/>
      <c r="D1" s="8" t="s">
        <v>1</v>
      </c>
      <c r="E1" s="9"/>
      <c r="F1" s="8" t="s">
        <v>2</v>
      </c>
      <c r="G1" s="9"/>
      <c r="H1" s="8" t="s">
        <v>3</v>
      </c>
      <c r="I1" s="9"/>
      <c r="J1" s="8" t="s">
        <v>4</v>
      </c>
      <c r="K1" s="9"/>
    </row>
    <row r="2" spans="1:11" ht="15.75" thickBot="1" x14ac:dyDescent="0.3">
      <c r="A2" s="10"/>
      <c r="B2" s="11" t="s">
        <v>6</v>
      </c>
      <c r="C2" s="12" t="s">
        <v>7</v>
      </c>
      <c r="D2" s="11" t="s">
        <v>6</v>
      </c>
      <c r="E2" s="12" t="s">
        <v>7</v>
      </c>
      <c r="F2" s="11" t="s">
        <v>6</v>
      </c>
      <c r="G2" s="12" t="s">
        <v>7</v>
      </c>
      <c r="H2" s="11" t="s">
        <v>6</v>
      </c>
      <c r="I2" s="12" t="s">
        <v>7</v>
      </c>
      <c r="J2" s="11" t="s">
        <v>6</v>
      </c>
      <c r="K2" s="12" t="s">
        <v>7</v>
      </c>
    </row>
    <row r="3" spans="1:11" x14ac:dyDescent="0.25">
      <c r="A3" s="5">
        <f>AVERAGE('60lb(ni=2,no=1)_T2 Marke'!A2,'60lb(ni=2,no=1_T1)'!A2,'60lb(ni=2,no=1_T3)'!A2)</f>
        <v>442.25856060606066</v>
      </c>
      <c r="B3" s="1">
        <f>AVERAGE('60lb(ni=2,no=1)_T2 Marke'!B2,'60lb(ni=2,no=1_T1)'!B2,'60lb(ni=2,no=1_T3)'!B2)</f>
        <v>0</v>
      </c>
      <c r="C3" s="2">
        <f>_xlfn.STDEV.P('60lb(ni=2,no=1)_T2 Marke'!B2,'60lb(ni=2,no=1_T1)'!B2,'60lb(ni=2,no=1_T3)'!B2)</f>
        <v>0</v>
      </c>
      <c r="D3" s="1">
        <f>AVERAGE('60lb(ni=2,no=1)_T2 Marke'!C2,'60lb(ni=2,no=1_T1)'!C2,'60lb(ni=2,no=1_T3)'!C2)</f>
        <v>46.430224980228196</v>
      </c>
      <c r="E3" s="2">
        <f>_xlfn.STDEV.P('60lb(ni=2,no=1)_T2 Marke'!C2,'60lb(ni=2,no=1_T1)'!C2,'60lb(ni=2,no=1_T3)'!C2)</f>
        <v>6.2923865513022106</v>
      </c>
      <c r="F3" s="1">
        <f>AVERAGE('60lb(ni=2,no=1)_T2 Marke'!D2,'60lb(ni=2,no=1_T1)'!D2,'60lb(ni=2,no=1_T3)'!D2)</f>
        <v>203.72567370188031</v>
      </c>
      <c r="G3" s="2">
        <f>_xlfn.STDEV.P('60lb(ni=2,no=1)_T2 Marke'!D2,'60lb(ni=2,no=1_T1)'!D2,'60lb(ni=2,no=1_T3)'!D2)</f>
        <v>40.351971815666673</v>
      </c>
      <c r="H3" s="1">
        <f>AVERAGE('60lb(ni=2,no=1)_T2 Marke'!E2,'60lb(ni=2,no=1_T1)'!E2,'60lb(ni=2,no=1_T3)'!E2)</f>
        <v>37.244215878344839</v>
      </c>
      <c r="I3" s="2">
        <f>_xlfn.STDEV.P('60lb(ni=2,no=1)_T2 Marke'!E2,'60lb(ni=2,no=1_T1)'!E2,'60lb(ni=2,no=1_T3)'!E2)</f>
        <v>6.5576276739518491</v>
      </c>
      <c r="J3" s="1">
        <f>AVERAGE('60lb(ni=2,no=1)_T2 Marke'!F2,'60lb(ni=2,no=1_T1)'!F2,'60lb(ni=2,no=1_T3)'!F2)</f>
        <v>209.22007324864137</v>
      </c>
      <c r="K3" s="2">
        <f>_xlfn.STDEV.P('60lb(ni=2,no=1)_T2 Marke'!F2,'60lb(ni=2,no=1_T1)'!F2,'60lb(ni=2,no=1_T3)'!F2)</f>
        <v>25.329845975914274</v>
      </c>
    </row>
    <row r="4" spans="1:11" x14ac:dyDescent="0.25">
      <c r="A4" s="5">
        <f>AVERAGE('60lb(ni=2,no=1)_T2 Marke'!A3,'60lb(ni=2,no=1_T1)'!A3,'60lb(ni=2,no=1_T3)'!A3)</f>
        <v>432.25856060606066</v>
      </c>
      <c r="B4" s="1">
        <f>AVERAGE('60lb(ni=2,no=1)_T2 Marke'!B3,'60lb(ni=2,no=1_T1)'!B3,'60lb(ni=2,no=1_T3)'!B3)</f>
        <v>0.02</v>
      </c>
      <c r="C4" s="2">
        <f>_xlfn.STDEV.P('60lb(ni=2,no=1)_T2 Marke'!B3,'60lb(ni=2,no=1_T1)'!B3,'60lb(ni=2,no=1_T3)'!B3)</f>
        <v>1.6329931618554522E-2</v>
      </c>
      <c r="D4" s="1">
        <f>AVERAGE('60lb(ni=2,no=1)_T2 Marke'!C3,'60lb(ni=2,no=1_T1)'!C3,'60lb(ni=2,no=1_T3)'!C3)</f>
        <v>45.455820106786376</v>
      </c>
      <c r="E4" s="2">
        <f>_xlfn.STDEV.P('60lb(ni=2,no=1)_T2 Marke'!C3,'60lb(ni=2,no=1_T1)'!C3,'60lb(ni=2,no=1_T3)'!C3)</f>
        <v>6.1932141368902283</v>
      </c>
      <c r="F4" s="1">
        <f>AVERAGE('60lb(ni=2,no=1)_T2 Marke'!D3,'60lb(ni=2,no=1_T1)'!D3,'60lb(ni=2,no=1_T3)'!D3)</f>
        <v>205.02342332492671</v>
      </c>
      <c r="G4" s="2">
        <f>_xlfn.STDEV.P('60lb(ni=2,no=1)_T2 Marke'!D3,'60lb(ni=2,no=1_T1)'!D3,'60lb(ni=2,no=1_T3)'!D3)</f>
        <v>40.791512970563971</v>
      </c>
      <c r="H4" s="1">
        <f>AVERAGE('60lb(ni=2,no=1)_T2 Marke'!E3,'60lb(ni=2,no=1_T1)'!E3,'60lb(ni=2,no=1_T3)'!E3)</f>
        <v>34.757389268959535</v>
      </c>
      <c r="I4" s="2">
        <f>_xlfn.STDEV.P('60lb(ni=2,no=1)_T2 Marke'!E3,'60lb(ni=2,no=1_T1)'!E3,'60lb(ni=2,no=1_T3)'!E3)</f>
        <v>4.8450634224073479</v>
      </c>
      <c r="J4" s="1">
        <f>AVERAGE('60lb(ni=2,no=1)_T2 Marke'!F3,'60lb(ni=2,no=1_T1)'!F3,'60lb(ni=2,no=1_T3)'!F3)</f>
        <v>180.67904281098546</v>
      </c>
      <c r="K4" s="2">
        <f>_xlfn.STDEV.P('60lb(ni=2,no=1)_T2 Marke'!F3,'60lb(ni=2,no=1_T1)'!F3,'60lb(ni=2,no=1_T3)'!F3)</f>
        <v>23.834042810985398</v>
      </c>
    </row>
    <row r="5" spans="1:11" x14ac:dyDescent="0.25">
      <c r="A5" s="5">
        <f>AVERAGE('60lb(ni=2,no=1)_T2 Marke'!A4,'60lb(ni=2,no=1_T1)'!A4,'60lb(ni=2,no=1_T3)'!A4)</f>
        <v>422.25856060606066</v>
      </c>
      <c r="B5" s="1">
        <f>AVERAGE('60lb(ni=2,no=1)_T2 Marke'!B4,'60lb(ni=2,no=1_T1)'!B4,'60lb(ni=2,no=1_T3)'!B4)</f>
        <v>5.6666666666666671E-2</v>
      </c>
      <c r="C5" s="2">
        <f>_xlfn.STDEV.P('60lb(ni=2,no=1)_T2 Marke'!B4,'60lb(ni=2,no=1_T1)'!B4,'60lb(ni=2,no=1_T3)'!B4)</f>
        <v>6.0184900284225969E-2</v>
      </c>
      <c r="D5" s="1">
        <f>AVERAGE('60lb(ni=2,no=1)_T2 Marke'!C4,'60lb(ni=2,no=1_T1)'!C4,'60lb(ni=2,no=1_T3)'!C4)</f>
        <v>45.654210111433514</v>
      </c>
      <c r="E5" s="2">
        <f>_xlfn.STDEV.P('60lb(ni=2,no=1)_T2 Marke'!C4,'60lb(ni=2,no=1_T1)'!C4,'60lb(ni=2,no=1_T3)'!C4)</f>
        <v>5.892801228711404</v>
      </c>
      <c r="F5" s="1">
        <f>AVERAGE('60lb(ni=2,no=1)_T2 Marke'!D4,'60lb(ni=2,no=1_T1)'!D4,'60lb(ni=2,no=1_T3)'!D4)</f>
        <v>203.72584977031769</v>
      </c>
      <c r="G5" s="2">
        <f>_xlfn.STDEV.P('60lb(ni=2,no=1)_T2 Marke'!D4,'60lb(ni=2,no=1_T1)'!D4,'60lb(ni=2,no=1_T3)'!D4)</f>
        <v>41.032191683084307</v>
      </c>
      <c r="H5" s="1">
        <f>AVERAGE('60lb(ni=2,no=1)_T2 Marke'!E4,'60lb(ni=2,no=1_T1)'!E4,'60lb(ni=2,no=1_T3)'!E4)</f>
        <v>33.321816217367576</v>
      </c>
      <c r="I5" s="2">
        <f>_xlfn.STDEV.P('60lb(ni=2,no=1)_T2 Marke'!E4,'60lb(ni=2,no=1_T1)'!E4,'60lb(ni=2,no=1_T3)'!E4)</f>
        <v>3.8081193980737322</v>
      </c>
      <c r="J5" s="1">
        <f>AVERAGE('60lb(ni=2,no=1)_T2 Marke'!F4,'60lb(ni=2,no=1_T1)'!F4,'60lb(ni=2,no=1_T3)'!F4)</f>
        <v>164.9795327874873</v>
      </c>
      <c r="K5" s="2">
        <f>_xlfn.STDEV.P('60lb(ni=2,no=1)_T2 Marke'!F4,'60lb(ni=2,no=1_T1)'!F4,'60lb(ni=2,no=1_T3)'!F4)</f>
        <v>10.645669151123329</v>
      </c>
    </row>
    <row r="6" spans="1:11" x14ac:dyDescent="0.25">
      <c r="A6" s="5">
        <f>AVERAGE('60lb(ni=2,no=1)_T2 Marke'!A5,'60lb(ni=2,no=1_T1)'!A5,'60lb(ni=2,no=1_T3)'!A5)</f>
        <v>412.25856060606066</v>
      </c>
      <c r="B6" s="1">
        <f>AVERAGE('60lb(ni=2,no=1)_T2 Marke'!B5,'60lb(ni=2,no=1_T1)'!B5,'60lb(ni=2,no=1_T3)'!B5)</f>
        <v>7.3333333333333348E-2</v>
      </c>
      <c r="C6" s="2">
        <f>_xlfn.STDEV.P('60lb(ni=2,no=1)_T2 Marke'!B5,'60lb(ni=2,no=1_T1)'!B5,'60lb(ni=2,no=1_T3)'!B5)</f>
        <v>7.1336448530108981E-2</v>
      </c>
      <c r="D6" s="1">
        <f>AVERAGE('60lb(ni=2,no=1)_T2 Marke'!C5,'60lb(ni=2,no=1_T1)'!C5,'60lb(ni=2,no=1_T3)'!C5)</f>
        <v>45.411397511687348</v>
      </c>
      <c r="E6" s="2">
        <f>_xlfn.STDEV.P('60lb(ni=2,no=1)_T2 Marke'!C5,'60lb(ni=2,no=1_T1)'!C5,'60lb(ni=2,no=1_T3)'!C5)</f>
        <v>6.003175943757693</v>
      </c>
      <c r="F6" s="1">
        <f>AVERAGE('60lb(ni=2,no=1)_T2 Marke'!D5,'60lb(ni=2,no=1_T1)'!D5,'60lb(ni=2,no=1_T3)'!D5)</f>
        <v>203.62553706532299</v>
      </c>
      <c r="G6" s="2">
        <f>_xlfn.STDEV.P('60lb(ni=2,no=1)_T2 Marke'!D5,'60lb(ni=2,no=1_T1)'!D5,'60lb(ni=2,no=1_T3)'!D5)</f>
        <v>40.26009319719671</v>
      </c>
      <c r="H6" s="1">
        <f>AVERAGE('60lb(ni=2,no=1)_T2 Marke'!E5,'60lb(ni=2,no=1_T1)'!E5,'60lb(ni=2,no=1_T3)'!E5)</f>
        <v>32.884362059882086</v>
      </c>
      <c r="I6" s="2">
        <f>_xlfn.STDEV.P('60lb(ni=2,no=1)_T2 Marke'!E5,'60lb(ni=2,no=1_T1)'!E5,'60lb(ni=2,no=1_T3)'!E5)</f>
        <v>3.7123944251345544</v>
      </c>
      <c r="J6" s="1">
        <f>AVERAGE('60lb(ni=2,no=1)_T2 Marke'!F5,'60lb(ni=2,no=1_T1)'!F5,'60lb(ni=2,no=1_T3)'!F5)</f>
        <v>134.82752441621378</v>
      </c>
      <c r="K6" s="2">
        <f>_xlfn.STDEV.P('60lb(ni=2,no=1)_T2 Marke'!F5,'60lb(ni=2,no=1_T1)'!F5,'60lb(ni=2,no=1_T3)'!F5)</f>
        <v>11.089115325304782</v>
      </c>
    </row>
    <row r="7" spans="1:11" x14ac:dyDescent="0.25">
      <c r="A7" s="5">
        <f>AVERAGE('60lb(ni=2,no=1)_T2 Marke'!A6,'60lb(ni=2,no=1_T1)'!A6,'60lb(ni=2,no=1_T3)'!A6)</f>
        <v>402.25856060606066</v>
      </c>
      <c r="B7" s="1">
        <f>AVERAGE('60lb(ni=2,no=1)_T2 Marke'!B6,'60lb(ni=2,no=1_T1)'!B6,'60lb(ni=2,no=1_T3)'!B6)</f>
        <v>0.08</v>
      </c>
      <c r="C7" s="2">
        <f>_xlfn.STDEV.P('60lb(ni=2,no=1)_T2 Marke'!B6,'60lb(ni=2,no=1_T1)'!B6,'60lb(ni=2,no=1_T3)'!B6)</f>
        <v>8.0415587212098807E-2</v>
      </c>
      <c r="D7" s="1">
        <f>AVERAGE('60lb(ni=2,no=1)_T2 Marke'!C6,'60lb(ni=2,no=1_T1)'!C6,'60lb(ni=2,no=1_T3)'!C6)</f>
        <v>44.863387449026639</v>
      </c>
      <c r="E7" s="2">
        <f>_xlfn.STDEV.P('60lb(ni=2,no=1)_T2 Marke'!C6,'60lb(ni=2,no=1_T1)'!C6,'60lb(ni=2,no=1_T3)'!C6)</f>
        <v>6.4036057432677245</v>
      </c>
      <c r="F7" s="1">
        <f>AVERAGE('60lb(ni=2,no=1)_T2 Marke'!D6,'60lb(ni=2,no=1_T1)'!D6,'60lb(ni=2,no=1_T3)'!D6)</f>
        <v>204.11901129550566</v>
      </c>
      <c r="G7" s="2">
        <f>_xlfn.STDEV.P('60lb(ni=2,no=1)_T2 Marke'!D6,'60lb(ni=2,no=1_T1)'!D6,'60lb(ni=2,no=1_T3)'!D6)</f>
        <v>40.47950530387503</v>
      </c>
      <c r="H7" s="1">
        <f>AVERAGE('60lb(ni=2,no=1)_T2 Marke'!E6,'60lb(ni=2,no=1_T1)'!E6,'60lb(ni=2,no=1_T3)'!E6)</f>
        <v>32.386165257857506</v>
      </c>
      <c r="I7" s="2">
        <f>_xlfn.STDEV.P('60lb(ni=2,no=1)_T2 Marke'!E6,'60lb(ni=2,no=1_T1)'!E6,'60lb(ni=2,no=1_T3)'!E6)</f>
        <v>3.8300575742831273</v>
      </c>
      <c r="J7" s="1">
        <f>AVERAGE('60lb(ni=2,no=1)_T2 Marke'!F6,'60lb(ni=2,no=1_T1)'!F6,'60lb(ni=2,no=1_T3)'!F6)</f>
        <v>101.74005158613602</v>
      </c>
      <c r="K7" s="2">
        <f>_xlfn.STDEV.P('60lb(ni=2,no=1)_T2 Marke'!F6,'60lb(ni=2,no=1_T1)'!F6,'60lb(ni=2,no=1_T3)'!F6)</f>
        <v>19.392097040681406</v>
      </c>
    </row>
    <row r="8" spans="1:11" x14ac:dyDescent="0.25">
      <c r="A8" s="5">
        <f>AVERAGE('60lb(ni=2,no=1)_T2 Marke'!A7,'60lb(ni=2,no=1_T1)'!A7,'60lb(ni=2,no=1_T3)'!A7)</f>
        <v>392.25856060606066</v>
      </c>
      <c r="B8" s="1">
        <f>AVERAGE('60lb(ni=2,no=1)_T2 Marke'!B7,'60lb(ni=2,no=1_T1)'!B7,'60lb(ni=2,no=1_T3)'!B7)</f>
        <v>8.666666666666667E-2</v>
      </c>
      <c r="C8" s="2">
        <f>_xlfn.STDEV.P('60lb(ni=2,no=1)_T2 Marke'!B7,'60lb(ni=2,no=1_T1)'!B7,'60lb(ni=2,no=1_T3)'!B7)</f>
        <v>7.8457348639598801E-2</v>
      </c>
      <c r="D8" s="1">
        <f>AVERAGE('60lb(ni=2,no=1)_T2 Marke'!C7,'60lb(ni=2,no=1_T1)'!C7,'60lb(ni=2,no=1_T3)'!C7)</f>
        <v>44.242796214390467</v>
      </c>
      <c r="E8" s="2">
        <f>_xlfn.STDEV.P('60lb(ni=2,no=1)_T2 Marke'!C7,'60lb(ni=2,no=1_T1)'!C7,'60lb(ni=2,no=1_T3)'!C7)</f>
        <v>6.5808592400197643</v>
      </c>
      <c r="F8" s="1">
        <f>AVERAGE('60lb(ni=2,no=1)_T2 Marke'!D7,'60lb(ni=2,no=1_T1)'!D7,'60lb(ni=2,no=1_T3)'!D7)</f>
        <v>204.91245030147604</v>
      </c>
      <c r="G8" s="2">
        <f>_xlfn.STDEV.P('60lb(ni=2,no=1)_T2 Marke'!D7,'60lb(ni=2,no=1_T1)'!D7,'60lb(ni=2,no=1_T3)'!D7)</f>
        <v>40.128601680147582</v>
      </c>
      <c r="H8" s="1">
        <f>AVERAGE('60lb(ni=2,no=1)_T2 Marke'!E7,'60lb(ni=2,no=1_T1)'!E7,'60lb(ni=2,no=1_T3)'!E7)</f>
        <v>32.166584579099698</v>
      </c>
      <c r="I8" s="2">
        <f>_xlfn.STDEV.P('60lb(ni=2,no=1)_T2 Marke'!E7,'60lb(ni=2,no=1_T1)'!E7,'60lb(ni=2,no=1_T3)'!E7)</f>
        <v>3.8974580766386495</v>
      </c>
      <c r="J8" s="1">
        <f>AVERAGE('60lb(ni=2,no=1)_T2 Marke'!F7,'60lb(ni=2,no=1_T1)'!F7,'60lb(ni=2,no=1_T3)'!F7)</f>
        <v>84.534689748861808</v>
      </c>
      <c r="K8" s="2">
        <f>_xlfn.STDEV.P('60lb(ni=2,no=1)_T2 Marke'!F7,'60lb(ni=2,no=1_T1)'!F7,'60lb(ni=2,no=1_T3)'!F7)</f>
        <v>13.126053385225477</v>
      </c>
    </row>
    <row r="9" spans="1:11" x14ac:dyDescent="0.25">
      <c r="A9" s="5">
        <f>AVERAGE('60lb(ni=2,no=1)_T2 Marke'!A8,'60lb(ni=2,no=1_T1)'!A8,'60lb(ni=2,no=1_T3)'!A8)</f>
        <v>382.25856060606066</v>
      </c>
      <c r="B9" s="1">
        <f>AVERAGE('60lb(ni=2,no=1)_T2 Marke'!B8,'60lb(ni=2,no=1_T1)'!B8,'60lb(ni=2,no=1_T3)'!B8)</f>
        <v>0.11666666666666668</v>
      </c>
      <c r="C9" s="2">
        <f>_xlfn.STDEV.P('60lb(ni=2,no=1)_T2 Marke'!B8,'60lb(ni=2,no=1_T1)'!B8,'60lb(ni=2,no=1_T3)'!B8)</f>
        <v>0.11323525167642019</v>
      </c>
      <c r="D9" s="1">
        <f>AVERAGE('60lb(ni=2,no=1)_T2 Marke'!C8,'60lb(ni=2,no=1_T1)'!C8,'60lb(ni=2,no=1_T3)'!C8)</f>
        <v>43.396111457696627</v>
      </c>
      <c r="E9" s="2">
        <f>_xlfn.STDEV.P('60lb(ni=2,no=1)_T2 Marke'!C8,'60lb(ni=2,no=1_T1)'!C8,'60lb(ni=2,no=1_T3)'!C8)</f>
        <v>6.23483899137078</v>
      </c>
      <c r="F9" s="1">
        <f>AVERAGE('60lb(ni=2,no=1)_T2 Marke'!D8,'60lb(ni=2,no=1_T1)'!D8,'60lb(ni=2,no=1_T3)'!D8)</f>
        <v>206.06094613663313</v>
      </c>
      <c r="G9" s="2">
        <f>_xlfn.STDEV.P('60lb(ni=2,no=1)_T2 Marke'!D8,'60lb(ni=2,no=1_T1)'!D8,'60lb(ni=2,no=1_T3)'!D8)</f>
        <v>40.35830514791467</v>
      </c>
      <c r="H9" s="1">
        <f>AVERAGE('60lb(ni=2,no=1)_T2 Marke'!E8,'60lb(ni=2,no=1_T1)'!E8,'60lb(ni=2,no=1_T3)'!E8)</f>
        <v>31.08996485643085</v>
      </c>
      <c r="I9" s="2">
        <f>_xlfn.STDEV.P('60lb(ni=2,no=1)_T2 Marke'!E8,'60lb(ni=2,no=1_T1)'!E8,'60lb(ni=2,no=1_T3)'!E8)</f>
        <v>4.0225620035048859</v>
      </c>
      <c r="J9" s="1">
        <f>AVERAGE('60lb(ni=2,no=1)_T2 Marke'!F8,'60lb(ni=2,no=1_T1)'!F8,'60lb(ni=2,no=1_T3)'!F8)</f>
        <v>73.459866353355892</v>
      </c>
      <c r="K9" s="2">
        <f>_xlfn.STDEV.P('60lb(ni=2,no=1)_T2 Marke'!F8,'60lb(ni=2,no=1_T1)'!F8,'60lb(ni=2,no=1_T3)'!F8)</f>
        <v>15.50168453517399</v>
      </c>
    </row>
    <row r="10" spans="1:11" x14ac:dyDescent="0.25">
      <c r="A10" s="5">
        <f>AVERAGE('60lb(ni=2,no=1)_T2 Marke'!A9,'60lb(ni=2,no=1_T1)'!A9,'60lb(ni=2,no=1_T3)'!A9)</f>
        <v>372.25856060606066</v>
      </c>
      <c r="B10" s="1">
        <f>AVERAGE('60lb(ni=2,no=1)_T2 Marke'!B9,'60lb(ni=2,no=1_T1)'!B9,'60lb(ni=2,no=1_T3)'!B9)</f>
        <v>0.13666666666666669</v>
      </c>
      <c r="C10" s="2">
        <f>_xlfn.STDEV.P('60lb(ni=2,no=1)_T2 Marke'!B9,'60lb(ni=2,no=1_T1)'!B9,'60lb(ni=2,no=1_T3)'!B9)</f>
        <v>0.13474255287605158</v>
      </c>
      <c r="D10" s="1">
        <f>AVERAGE('60lb(ni=2,no=1)_T2 Marke'!C9,'60lb(ni=2,no=1_T1)'!C9,'60lb(ni=2,no=1_T3)'!C9)</f>
        <v>41.891055677368961</v>
      </c>
      <c r="E10" s="2">
        <f>_xlfn.STDEV.P('60lb(ni=2,no=1)_T2 Marke'!C9,'60lb(ni=2,no=1_T1)'!C9,'60lb(ni=2,no=1_T3)'!C9)</f>
        <v>6.029962825956976</v>
      </c>
      <c r="F10" s="1">
        <f>AVERAGE('60lb(ni=2,no=1)_T2 Marke'!D9,'60lb(ni=2,no=1_T1)'!D9,'60lb(ni=2,no=1_T3)'!D9)</f>
        <v>207.74472245350822</v>
      </c>
      <c r="G10" s="2">
        <f>_xlfn.STDEV.P('60lb(ni=2,no=1)_T2 Marke'!D9,'60lb(ni=2,no=1_T1)'!D9,'60lb(ni=2,no=1_T3)'!D9)</f>
        <v>40.855224893120884</v>
      </c>
      <c r="H10" s="1">
        <f>AVERAGE('60lb(ni=2,no=1)_T2 Marke'!E9,'60lb(ni=2,no=1_T1)'!E9,'60lb(ni=2,no=1_T3)'!E9)</f>
        <v>29.511529847631071</v>
      </c>
      <c r="I10" s="2">
        <f>_xlfn.STDEV.P('60lb(ni=2,no=1)_T2 Marke'!E9,'60lb(ni=2,no=1_T1)'!E9,'60lb(ni=2,no=1_T3)'!E9)</f>
        <v>4.0159209597616359</v>
      </c>
      <c r="J10" s="1">
        <f>AVERAGE('60lb(ni=2,no=1)_T2 Marke'!F9,'60lb(ni=2,no=1_T1)'!F9,'60lb(ni=2,no=1_T3)'!F9)</f>
        <v>61.715793618739951</v>
      </c>
      <c r="K10" s="2">
        <f>_xlfn.STDEV.P('60lb(ni=2,no=1)_T2 Marke'!F9,'60lb(ni=2,no=1_T1)'!F9,'60lb(ni=2,no=1_T3)'!F9)</f>
        <v>18.218293618739843</v>
      </c>
    </row>
    <row r="11" spans="1:11" x14ac:dyDescent="0.25">
      <c r="A11" s="5">
        <f>AVERAGE('60lb(ni=2,no=1)_T2 Marke'!A10,'60lb(ni=2,no=1_T1)'!A10,'60lb(ni=2,no=1_T3)'!A10)</f>
        <v>362.25856060606066</v>
      </c>
      <c r="B11" s="1">
        <f>AVERAGE('60lb(ni=2,no=1)_T2 Marke'!B10,'60lb(ni=2,no=1_T1)'!B10,'60lb(ni=2,no=1_T3)'!B10)</f>
        <v>0.14666666666666667</v>
      </c>
      <c r="C11" s="2">
        <f>_xlfn.STDEV.P('60lb(ni=2,no=1)_T2 Marke'!B10,'60lb(ni=2,no=1_T1)'!B10,'60lb(ni=2,no=1_T3)'!B10)</f>
        <v>0.13474255287605161</v>
      </c>
      <c r="D11" s="1">
        <f>AVERAGE('60lb(ni=2,no=1)_T2 Marke'!C10,'60lb(ni=2,no=1_T1)'!C10,'60lb(ni=2,no=1_T3)'!C10)</f>
        <v>41.41301044312015</v>
      </c>
      <c r="E11" s="2">
        <f>_xlfn.STDEV.P('60lb(ni=2,no=1)_T2 Marke'!C10,'60lb(ni=2,no=1_T1)'!C10,'60lb(ni=2,no=1_T3)'!C10)</f>
        <v>6.4660367157253331</v>
      </c>
      <c r="F11" s="1">
        <f>AVERAGE('60lb(ni=2,no=1)_T2 Marke'!D10,'60lb(ni=2,no=1_T1)'!D10,'60lb(ni=2,no=1_T3)'!D10)</f>
        <v>208.07975767772089</v>
      </c>
      <c r="G11" s="2">
        <f>_xlfn.STDEV.P('60lb(ni=2,no=1)_T2 Marke'!D10,'60lb(ni=2,no=1_T1)'!D10,'60lb(ni=2,no=1_T3)'!D10)</f>
        <v>40.648019316220498</v>
      </c>
      <c r="H11" s="1">
        <f>AVERAGE('60lb(ni=2,no=1)_T2 Marke'!E10,'60lb(ni=2,no=1_T1)'!E10,'60lb(ni=2,no=1_T3)'!E10)</f>
        <v>27.593253971349124</v>
      </c>
      <c r="I11" s="2">
        <f>_xlfn.STDEV.P('60lb(ni=2,no=1)_T2 Marke'!E10,'60lb(ni=2,no=1_T1)'!E10,'60lb(ni=2,no=1_T3)'!E10)</f>
        <v>3.5469079726713253</v>
      </c>
      <c r="J11" s="1">
        <f>AVERAGE('60lb(ni=2,no=1)_T2 Marke'!F10,'60lb(ni=2,no=1_T1)'!F10,'60lb(ni=2,no=1_T3)'!F10)</f>
        <v>52.930243611396705</v>
      </c>
      <c r="K11" s="2">
        <f>_xlfn.STDEV.P('60lb(ni=2,no=1)_T2 Marke'!F10,'60lb(ni=2,no=1_T1)'!F10,'60lb(ni=2,no=1_T3)'!F10)</f>
        <v>17.976379975033023</v>
      </c>
    </row>
    <row r="12" spans="1:11" x14ac:dyDescent="0.25">
      <c r="A12" s="5">
        <f>AVERAGE('60lb(ni=2,no=1)_T2 Marke'!A11,'60lb(ni=2,no=1_T1)'!A11,'60lb(ni=2,no=1_T3)'!A11)</f>
        <v>352.25856060606066</v>
      </c>
      <c r="B12" s="1">
        <f>AVERAGE('60lb(ni=2,no=1)_T2 Marke'!B11,'60lb(ni=2,no=1_T1)'!B11,'60lb(ni=2,no=1_T3)'!B11)</f>
        <v>0.22666666666666666</v>
      </c>
      <c r="C12" s="2">
        <f>_xlfn.STDEV.P('60lb(ni=2,no=1)_T2 Marke'!B11,'60lb(ni=2,no=1_T1)'!B11,'60lb(ni=2,no=1_T3)'!B11)</f>
        <v>0.18006171781426009</v>
      </c>
      <c r="D12" s="1">
        <f>AVERAGE('60lb(ni=2,no=1)_T2 Marke'!C11,'60lb(ni=2,no=1_T1)'!C11,'60lb(ni=2,no=1_T3)'!C11)</f>
        <v>39.74996079070646</v>
      </c>
      <c r="E12" s="2">
        <f>_xlfn.STDEV.P('60lb(ni=2,no=1)_T2 Marke'!C11,'60lb(ni=2,no=1_T1)'!C11,'60lb(ni=2,no=1_T3)'!C11)</f>
        <v>6.7092746574675948</v>
      </c>
      <c r="F12" s="1">
        <f>AVERAGE('60lb(ni=2,no=1)_T2 Marke'!D11,'60lb(ni=2,no=1_T1)'!D11,'60lb(ni=2,no=1_T3)'!D11)</f>
        <v>209.76442504810234</v>
      </c>
      <c r="G12" s="2">
        <f>_xlfn.STDEV.P('60lb(ni=2,no=1)_T2 Marke'!D11,'60lb(ni=2,no=1_T1)'!D11,'60lb(ni=2,no=1_T3)'!D11)</f>
        <v>40.097022068073926</v>
      </c>
      <c r="H12" s="1">
        <f>AVERAGE('60lb(ni=2,no=1)_T2 Marke'!E11,'60lb(ni=2,no=1_T1)'!E11,'60lb(ni=2,no=1_T3)'!E11)</f>
        <v>26.089107334554868</v>
      </c>
      <c r="I12" s="2">
        <f>_xlfn.STDEV.P('60lb(ni=2,no=1)_T2 Marke'!E11,'60lb(ni=2,no=1_T1)'!E11,'60lb(ni=2,no=1_T3)'!E11)</f>
        <v>3.7886217938278897</v>
      </c>
      <c r="J12" s="1">
        <f>AVERAGE('60lb(ni=2,no=1)_T2 Marke'!F11,'60lb(ni=2,no=1_T1)'!F11,'60lb(ni=2,no=1_T3)'!F11)</f>
        <v>44.79778583492439</v>
      </c>
      <c r="K12" s="2">
        <f>_xlfn.STDEV.P('60lb(ni=2,no=1)_T2 Marke'!F11,'60lb(ni=2,no=1_T1)'!F11,'60lb(ni=2,no=1_T3)'!F11)</f>
        <v>16.424831289469786</v>
      </c>
    </row>
    <row r="13" spans="1:11" x14ac:dyDescent="0.25">
      <c r="A13" s="5">
        <f>AVERAGE('60lb(ni=2,no=1)_T2 Marke'!A12,'60lb(ni=2,no=1_T1)'!A12,'60lb(ni=2,no=1_T3)'!A12)</f>
        <v>342.25856060606066</v>
      </c>
      <c r="B13" s="1">
        <f>AVERAGE('60lb(ni=2,no=1)_T2 Marke'!B12,'60lb(ni=2,no=1_T1)'!B12,'60lb(ni=2,no=1_T3)'!B12)</f>
        <v>0.25</v>
      </c>
      <c r="C13" s="2">
        <f>_xlfn.STDEV.P('60lb(ni=2,no=1)_T2 Marke'!B12,'60lb(ni=2,no=1_T1)'!B12,'60lb(ni=2,no=1_T3)'!B12)</f>
        <v>0.17454703282114728</v>
      </c>
      <c r="D13" s="1">
        <f>AVERAGE('60lb(ni=2,no=1)_T2 Marke'!C12,'60lb(ni=2,no=1_T1)'!C12,'60lb(ni=2,no=1_T3)'!C12)</f>
        <v>38.752899092962011</v>
      </c>
      <c r="E13" s="2">
        <f>_xlfn.STDEV.P('60lb(ni=2,no=1)_T2 Marke'!C12,'60lb(ni=2,no=1_T1)'!C12,'60lb(ni=2,no=1_T3)'!C12)</f>
        <v>7.1278019931570666</v>
      </c>
      <c r="F13" s="1">
        <f>AVERAGE('60lb(ni=2,no=1)_T2 Marke'!D12,'60lb(ni=2,no=1_T1)'!D12,'60lb(ni=2,no=1_T3)'!D12)</f>
        <v>210.89186017195004</v>
      </c>
      <c r="G13" s="2">
        <f>_xlfn.STDEV.P('60lb(ni=2,no=1)_T2 Marke'!D12,'60lb(ni=2,no=1_T1)'!D12,'60lb(ni=2,no=1_T3)'!D12)</f>
        <v>39.677033259420895</v>
      </c>
      <c r="H13" s="1">
        <f>AVERAGE('60lb(ni=2,no=1)_T2 Marke'!E12,'60lb(ni=2,no=1_T1)'!E12,'60lb(ni=2,no=1_T3)'!E12)</f>
        <v>25.108365686250526</v>
      </c>
      <c r="I13" s="2">
        <f>_xlfn.STDEV.P('60lb(ni=2,no=1)_T2 Marke'!E12,'60lb(ni=2,no=1_T1)'!E12,'60lb(ni=2,no=1_T3)'!E12)</f>
        <v>3.7652934509063609</v>
      </c>
      <c r="J13" s="1">
        <f>AVERAGE('60lb(ni=2,no=1)_T2 Marke'!F12,'60lb(ni=2,no=1_T1)'!F12,'60lb(ni=2,no=1_T3)'!F12)</f>
        <v>38.524887648700265</v>
      </c>
      <c r="K13" s="2">
        <f>_xlfn.STDEV.P('60lb(ni=2,no=1)_T2 Marke'!F12,'60lb(ni=2,no=1_T1)'!F12,'60lb(ni=2,no=1_T3)'!F12)</f>
        <v>17.28125128506387</v>
      </c>
    </row>
    <row r="14" spans="1:11" x14ac:dyDescent="0.25">
      <c r="A14" s="5">
        <f>AVERAGE('60lb(ni=2,no=1)_T2 Marke'!A13,'60lb(ni=2,no=1_T1)'!A13,'60lb(ni=2,no=1_T3)'!A13)</f>
        <v>332.25856060606066</v>
      </c>
      <c r="B14" s="1">
        <f>AVERAGE('60lb(ni=2,no=1)_T2 Marke'!B13,'60lb(ni=2,no=1_T1)'!B13,'60lb(ni=2,no=1_T3)'!B13)</f>
        <v>0.32333333333333331</v>
      </c>
      <c r="C14" s="2">
        <f>_xlfn.STDEV.P('60lb(ni=2,no=1)_T2 Marke'!B13,'60lb(ni=2,no=1_T1)'!B13,'60lb(ni=2,no=1_T3)'!B13)</f>
        <v>0.22573337271116023</v>
      </c>
      <c r="D14" s="1">
        <f>AVERAGE('60lb(ni=2,no=1)_T2 Marke'!C13,'60lb(ni=2,no=1_T1)'!C13,'60lb(ni=2,no=1_T3)'!C13)</f>
        <v>37.596869398197427</v>
      </c>
      <c r="E14" s="2">
        <f>_xlfn.STDEV.P('60lb(ni=2,no=1)_T2 Marke'!C13,'60lb(ni=2,no=1_T1)'!C13,'60lb(ni=2,no=1_T3)'!C13)</f>
        <v>7.7418319407349756</v>
      </c>
      <c r="F14" s="1">
        <f>AVERAGE('60lb(ni=2,no=1)_T2 Marke'!D13,'60lb(ni=2,no=1_T1)'!D13,'60lb(ni=2,no=1_T3)'!D13)</f>
        <v>211.24826213871037</v>
      </c>
      <c r="G14" s="2">
        <f>_xlfn.STDEV.P('60lb(ni=2,no=1)_T2 Marke'!D13,'60lb(ni=2,no=1_T1)'!D13,'60lb(ni=2,no=1_T3)'!D13)</f>
        <v>40.352357965131226</v>
      </c>
      <c r="H14" s="1">
        <f>AVERAGE('60lb(ni=2,no=1)_T2 Marke'!E13,'60lb(ni=2,no=1_T1)'!E13,'60lb(ni=2,no=1_T3)'!E13)</f>
        <v>23.312168285759721</v>
      </c>
      <c r="I14" s="2">
        <f>_xlfn.STDEV.P('60lb(ni=2,no=1)_T2 Marke'!E13,'60lb(ni=2,no=1_T1)'!E13,'60lb(ni=2,no=1_T3)'!E13)</f>
        <v>4.7240273080182282</v>
      </c>
      <c r="J14" s="1">
        <f>AVERAGE('60lb(ni=2,no=1)_T2 Marke'!F13,'60lb(ni=2,no=1_T1)'!F13,'60lb(ni=2,no=1_T3)'!F13)</f>
        <v>33.28396937876343</v>
      </c>
      <c r="K14" s="2">
        <f>_xlfn.STDEV.P('60lb(ni=2,no=1)_T2 Marke'!F13,'60lb(ni=2,no=1_T1)'!F13,'60lb(ni=2,no=1_T3)'!F13)</f>
        <v>15.79260574239974</v>
      </c>
    </row>
    <row r="15" spans="1:11" x14ac:dyDescent="0.25">
      <c r="A15" s="5">
        <f>AVERAGE('60lb(ni=2,no=1)_T2 Marke'!A14,'60lb(ni=2,no=1_T1)'!A14,'60lb(ni=2,no=1_T3)'!A14)</f>
        <v>322.25856060606066</v>
      </c>
      <c r="B15" s="1">
        <f>AVERAGE('60lb(ni=2,no=1)_T2 Marke'!B14,'60lb(ni=2,no=1_T1)'!B14,'60lb(ni=2,no=1_T3)'!B14)</f>
        <v>0.35333333333333333</v>
      </c>
      <c r="C15" s="2">
        <f>_xlfn.STDEV.P('60lb(ni=2,no=1)_T2 Marke'!B14,'60lb(ni=2,no=1_T1)'!B14,'60lb(ni=2,no=1_T3)'!B14)</f>
        <v>0.2663748403200939</v>
      </c>
      <c r="D15" s="1">
        <f>AVERAGE('60lb(ni=2,no=1)_T2 Marke'!C14,'60lb(ni=2,no=1_T1)'!C14,'60lb(ni=2,no=1_T3)'!C14)</f>
        <v>36.79853175194777</v>
      </c>
      <c r="E15" s="2">
        <f>_xlfn.STDEV.P('60lb(ni=2,no=1)_T2 Marke'!C14,'60lb(ni=2,no=1_T1)'!C14,'60lb(ni=2,no=1_T3)'!C14)</f>
        <v>7.7561167426197279</v>
      </c>
      <c r="F15" s="1">
        <f>AVERAGE('60lb(ni=2,no=1)_T2 Marke'!D14,'60lb(ni=2,no=1_T1)'!D14,'60lb(ni=2,no=1_T3)'!D14)</f>
        <v>212.57417033863348</v>
      </c>
      <c r="G15" s="2">
        <f>_xlfn.STDEV.P('60lb(ni=2,no=1)_T2 Marke'!D14,'60lb(ni=2,no=1_T1)'!D14,'60lb(ni=2,no=1_T3)'!D14)</f>
        <v>40.833729591829595</v>
      </c>
      <c r="H15" s="1">
        <f>AVERAGE('60lb(ni=2,no=1)_T2 Marke'!E14,'60lb(ni=2,no=1_T1)'!E14,'60lb(ni=2,no=1_T3)'!E14)</f>
        <v>22.809805918551771</v>
      </c>
      <c r="I15" s="2">
        <f>_xlfn.STDEV.P('60lb(ni=2,no=1)_T2 Marke'!E14,'60lb(ni=2,no=1_T1)'!E14,'60lb(ni=2,no=1_T3)'!E14)</f>
        <v>4.205706654783131</v>
      </c>
      <c r="J15" s="1">
        <f>AVERAGE('60lb(ni=2,no=1)_T2 Marke'!F14,'60lb(ni=2,no=1_T1)'!F14,'60lb(ni=2,no=1_T3)'!F14)</f>
        <v>28.877298795711575</v>
      </c>
      <c r="K15" s="2">
        <f>_xlfn.STDEV.P('60lb(ni=2,no=1)_T2 Marke'!F14,'60lb(ni=2,no=1_T1)'!F14,'60lb(ni=2,no=1_T3)'!F14)</f>
        <v>14.61866243207518</v>
      </c>
    </row>
    <row r="16" spans="1:11" x14ac:dyDescent="0.25">
      <c r="A16" s="5">
        <f>AVERAGE('60lb(ni=2,no=1)_T2 Marke'!A15,'60lb(ni=2,no=1_T1)'!A15,'60lb(ni=2,no=1_T3)'!A15)</f>
        <v>312.25856060606066</v>
      </c>
      <c r="B16" s="1">
        <f>AVERAGE('60lb(ni=2,no=1)_T2 Marke'!B15,'60lb(ni=2,no=1_T1)'!B15,'60lb(ni=2,no=1_T3)'!B15)</f>
        <v>0.46333333333333337</v>
      </c>
      <c r="C16" s="2">
        <f>_xlfn.STDEV.P('60lb(ni=2,no=1)_T2 Marke'!B15,'60lb(ni=2,no=1_T1)'!B15,'60lb(ni=2,no=1_T3)'!B15)</f>
        <v>0.35140985883849196</v>
      </c>
      <c r="D16" s="1">
        <f>AVERAGE('60lb(ni=2,no=1)_T2 Marke'!C15,'60lb(ni=2,no=1_T1)'!C15,'60lb(ni=2,no=1_T3)'!C15)</f>
        <v>35.800764994716118</v>
      </c>
      <c r="E16" s="2">
        <f>_xlfn.STDEV.P('60lb(ni=2,no=1)_T2 Marke'!C15,'60lb(ni=2,no=1_T1)'!C15,'60lb(ni=2,no=1_T3)'!C15)</f>
        <v>8.1490255779392538</v>
      </c>
      <c r="F16" s="1">
        <f>AVERAGE('60lb(ni=2,no=1)_T2 Marke'!D15,'60lb(ni=2,no=1_T1)'!D15,'60lb(ni=2,no=1_T3)'!D15)</f>
        <v>214.66992356108184</v>
      </c>
      <c r="G16" s="2">
        <f>_xlfn.STDEV.P('60lb(ni=2,no=1)_T2 Marke'!D15,'60lb(ni=2,no=1_T1)'!D15,'60lb(ni=2,no=1_T3)'!D15)</f>
        <v>41.242503301585273</v>
      </c>
      <c r="H16" s="1">
        <f>AVERAGE('60lb(ni=2,no=1)_T2 Marke'!E15,'60lb(ni=2,no=1_T1)'!E15,'60lb(ni=2,no=1_T3)'!E15)</f>
        <v>21.620923090677593</v>
      </c>
      <c r="I16" s="2">
        <f>_xlfn.STDEV.P('60lb(ni=2,no=1)_T2 Marke'!E15,'60lb(ni=2,no=1_T1)'!E15,'60lb(ni=2,no=1_T3)'!E15)</f>
        <v>4.7882779998085345</v>
      </c>
      <c r="J16" s="1">
        <f>AVERAGE('60lb(ni=2,no=1)_T2 Marke'!F15,'60lb(ni=2,no=1_T1)'!F15,'60lb(ni=2,no=1_T3)'!F15)</f>
        <v>25.045103172271993</v>
      </c>
      <c r="K16" s="2">
        <f>_xlfn.STDEV.P('60lb(ni=2,no=1)_T2 Marke'!F15,'60lb(ni=2,no=1_T1)'!F15,'60lb(ni=2,no=1_T3)'!F15)</f>
        <v>14.019194081362899</v>
      </c>
    </row>
    <row r="17" spans="1:11" x14ac:dyDescent="0.25">
      <c r="A17" s="5">
        <f>AVERAGE('60lb(ni=2,no=1)_T2 Marke'!A16,'60lb(ni=2,no=1_T1)'!A16,'60lb(ni=2,no=1_T3)'!A16)</f>
        <v>302.25856060606066</v>
      </c>
      <c r="B17" s="1">
        <f>AVERAGE('60lb(ni=2,no=1)_T2 Marke'!B16,'60lb(ni=2,no=1_T1)'!B16,'60lb(ni=2,no=1_T3)'!B16)</f>
        <v>0.63666666666666671</v>
      </c>
      <c r="C17" s="2">
        <f>_xlfn.STDEV.P('60lb(ni=2,no=1)_T2 Marke'!B16,'60lb(ni=2,no=1_T1)'!B16,'60lb(ni=2,no=1_T3)'!B16)</f>
        <v>0.49734852523713757</v>
      </c>
      <c r="D17" s="1">
        <f>AVERAGE('60lb(ni=2,no=1)_T2 Marke'!C16,'60lb(ni=2,no=1_T1)'!C16,'60lb(ni=2,no=1_T3)'!C16)</f>
        <v>33.717861390429981</v>
      </c>
      <c r="E17" s="2">
        <f>_xlfn.STDEV.P('60lb(ni=2,no=1)_T2 Marke'!C16,'60lb(ni=2,no=1_T1)'!C16,'60lb(ni=2,no=1_T3)'!C16)</f>
        <v>8.2921660575008893</v>
      </c>
      <c r="F17" s="1">
        <f>AVERAGE('60lb(ni=2,no=1)_T2 Marke'!D16,'60lb(ni=2,no=1_T1)'!D16,'60lb(ni=2,no=1_T3)'!D16)</f>
        <v>216.73961548474927</v>
      </c>
      <c r="G17" s="2">
        <f>_xlfn.STDEV.P('60lb(ni=2,no=1)_T2 Marke'!D16,'60lb(ni=2,no=1_T1)'!D16,'60lb(ni=2,no=1_T3)'!D16)</f>
        <v>40.904848256757973</v>
      </c>
      <c r="H17" s="1">
        <f>AVERAGE('60lb(ni=2,no=1)_T2 Marke'!E16,'60lb(ni=2,no=1_T1)'!E16,'60lb(ni=2,no=1_T3)'!E16)</f>
        <v>20.063817858633939</v>
      </c>
      <c r="I17" s="2">
        <f>_xlfn.STDEV.P('60lb(ni=2,no=1)_T2 Marke'!E16,'60lb(ni=2,no=1_T1)'!E16,'60lb(ni=2,no=1_T3)'!E16)</f>
        <v>5.8027511241045104</v>
      </c>
      <c r="J17" s="1">
        <f>AVERAGE('60lb(ni=2,no=1)_T2 Marke'!F16,'60lb(ni=2,no=1_T1)'!F16,'60lb(ni=2,no=1_T3)'!F16)</f>
        <v>21.733315648406524</v>
      </c>
      <c r="K17" s="2">
        <f>_xlfn.STDEV.P('60lb(ni=2,no=1)_T2 Marke'!F16,'60lb(ni=2,no=1_T1)'!F16,'60lb(ni=2,no=1_T3)'!F16)</f>
        <v>13.391724739315606</v>
      </c>
    </row>
    <row r="18" spans="1:11" x14ac:dyDescent="0.25">
      <c r="A18" s="5">
        <f>AVERAGE('60lb(ni=2,no=1)_T2 Marke'!A17,'60lb(ni=2,no=1_T1)'!A17,'60lb(ni=2,no=1_T3)'!A17)</f>
        <v>292.25856060606066</v>
      </c>
      <c r="B18" s="1">
        <f>AVERAGE('60lb(ni=2,no=1)_T2 Marke'!B17,'60lb(ni=2,no=1_T1)'!B17,'60lb(ni=2,no=1_T3)'!B17)</f>
        <v>0.91</v>
      </c>
      <c r="C18" s="2">
        <f>_xlfn.STDEV.P('60lb(ni=2,no=1)_T2 Marke'!B17,'60lb(ni=2,no=1_T1)'!B17,'60lb(ni=2,no=1_T3)'!B17)</f>
        <v>0.78540859854388323</v>
      </c>
      <c r="D18" s="1">
        <f>AVERAGE('60lb(ni=2,no=1)_T2 Marke'!C17,'60lb(ni=2,no=1_T1)'!C17,'60lb(ni=2,no=1_T3)'!C17)</f>
        <v>31.717735266926198</v>
      </c>
      <c r="E18" s="2">
        <f>_xlfn.STDEV.P('60lb(ni=2,no=1)_T2 Marke'!C17,'60lb(ni=2,no=1_T1)'!C17,'60lb(ni=2,no=1_T3)'!C17)</f>
        <v>9.0141509096210068</v>
      </c>
      <c r="F18" s="1">
        <f>AVERAGE('60lb(ni=2,no=1)_T2 Marke'!D17,'60lb(ni=2,no=1_T1)'!D17,'60lb(ni=2,no=1_T3)'!D17)</f>
        <v>219.5158395484757</v>
      </c>
      <c r="G18" s="2">
        <f>_xlfn.STDEV.P('60lb(ni=2,no=1)_T2 Marke'!D17,'60lb(ni=2,no=1_T1)'!D17,'60lb(ni=2,no=1_T3)'!D17)</f>
        <v>41.769387634321383</v>
      </c>
      <c r="H18" s="1">
        <f>AVERAGE('60lb(ni=2,no=1)_T2 Marke'!E17,'60lb(ni=2,no=1_T1)'!E17,'60lb(ni=2,no=1_T3)'!E17)</f>
        <v>18.159903856342293</v>
      </c>
      <c r="I18" s="2">
        <f>_xlfn.STDEV.P('60lb(ni=2,no=1)_T2 Marke'!E17,'60lb(ni=2,no=1_T1)'!E17,'60lb(ni=2,no=1_T3)'!E17)</f>
        <v>6.3808264484811508</v>
      </c>
      <c r="J18" s="1">
        <f>AVERAGE('60lb(ni=2,no=1)_T2 Marke'!F17,'60lb(ni=2,no=1_T1)'!F17,'60lb(ni=2,no=1_T3)'!F17)</f>
        <v>19.062776472316056</v>
      </c>
      <c r="K18" s="2">
        <f>_xlfn.STDEV.P('60lb(ni=2,no=1)_T2 Marke'!F17,'60lb(ni=2,no=1_T1)'!F17,'60lb(ni=2,no=1_T3)'!F17)</f>
        <v>12.943685563225133</v>
      </c>
    </row>
    <row r="19" spans="1:11" x14ac:dyDescent="0.25">
      <c r="A19" s="5">
        <f>AVERAGE('60lb(ni=2,no=1)_T2 Marke'!A18,'60lb(ni=2,no=1_T1)'!A18,'60lb(ni=2,no=1_T3)'!A18)</f>
        <v>282.25856060606066</v>
      </c>
      <c r="B19" s="1">
        <f>AVERAGE('60lb(ni=2,no=1)_T2 Marke'!B18,'60lb(ni=2,no=1_T1)'!B18,'60lb(ni=2,no=1_T3)'!B18)</f>
        <v>1.1666666666666667</v>
      </c>
      <c r="C19" s="2">
        <f>_xlfn.STDEV.P('60lb(ni=2,no=1)_T2 Marke'!B18,'60lb(ni=2,no=1_T1)'!B18,'60lb(ni=2,no=1_T3)'!B18)</f>
        <v>1.0309003616041446</v>
      </c>
      <c r="D19" s="1">
        <f>AVERAGE('60lb(ni=2,no=1)_T2 Marke'!C18,'60lb(ni=2,no=1_T1)'!C18,'60lb(ni=2,no=1_T3)'!C18)</f>
        <v>29.801824758788015</v>
      </c>
      <c r="E19" s="2">
        <f>_xlfn.STDEV.P('60lb(ni=2,no=1)_T2 Marke'!C18,'60lb(ni=2,no=1_T1)'!C18,'60lb(ni=2,no=1_T3)'!C18)</f>
        <v>10.041673225995563</v>
      </c>
      <c r="F19" s="1">
        <f>AVERAGE('60lb(ni=2,no=1)_T2 Marke'!D18,'60lb(ni=2,no=1_T1)'!D18,'60lb(ni=2,no=1_T3)'!D18)</f>
        <v>222.30812452177656</v>
      </c>
      <c r="G19" s="2">
        <f>_xlfn.STDEV.P('60lb(ni=2,no=1)_T2 Marke'!D18,'60lb(ni=2,no=1_T1)'!D18,'60lb(ni=2,no=1_T3)'!D18)</f>
        <v>40.463882978007796</v>
      </c>
      <c r="H19" s="1">
        <f>AVERAGE('60lb(ni=2,no=1)_T2 Marke'!E18,'60lb(ni=2,no=1_T1)'!E18,'60lb(ni=2,no=1_T3)'!E18)</f>
        <v>17.516479728966129</v>
      </c>
      <c r="I19" s="2">
        <f>_xlfn.STDEV.P('60lb(ni=2,no=1)_T2 Marke'!E18,'60lb(ni=2,no=1_T1)'!E18,'60lb(ni=2,no=1_T3)'!E18)</f>
        <v>6.337210448666684</v>
      </c>
      <c r="J19" s="1">
        <f>AVERAGE('60lb(ni=2,no=1)_T2 Marke'!F18,'60lb(ni=2,no=1_T1)'!F18,'60lb(ni=2,no=1_T3)'!F18)</f>
        <v>17.572848619474229</v>
      </c>
      <c r="K19" s="2">
        <f>_xlfn.STDEV.P('60lb(ni=2,no=1)_T2 Marke'!F18,'60lb(ni=2,no=1_T1)'!F18,'60lb(ni=2,no=1_T3)'!F18)</f>
        <v>12.463984983110585</v>
      </c>
    </row>
    <row r="20" spans="1:11" ht="15.75" thickBot="1" x14ac:dyDescent="0.3">
      <c r="A20" s="6">
        <f>AVERAGE('60lb(ni=2,no=1)_T2 Marke'!A19,'60lb(ni=2,no=1_T1)'!A19,'60lb(ni=2,no=1_T3)'!A19)</f>
        <v>272.25856060606066</v>
      </c>
      <c r="B20" s="3">
        <f>AVERAGE('60lb(ni=2,no=1)_T2 Marke'!B19,'60lb(ni=2,no=1_T1)'!B19,'60lb(ni=2,no=1_T3)'!B19)</f>
        <v>1.6900000000000002</v>
      </c>
      <c r="C20" s="4">
        <f>_xlfn.STDEV.P('60lb(ni=2,no=1)_T2 Marke'!B19,'60lb(ni=2,no=1_T1)'!B19,'60lb(ni=2,no=1_T3)'!B19)</f>
        <v>1.5398701243936128</v>
      </c>
      <c r="D20" s="3">
        <f>AVERAGE('60lb(ni=2,no=1)_T2 Marke'!C19,'60lb(ni=2,no=1_T1)'!C19,'60lb(ni=2,no=1_T3)'!C19)</f>
        <v>28.068986346399782</v>
      </c>
      <c r="E20" s="4">
        <f>_xlfn.STDEV.P('60lb(ni=2,no=1)_T2 Marke'!C19,'60lb(ni=2,no=1_T1)'!C19,'60lb(ni=2,no=1_T3)'!C19)</f>
        <v>10.896629713140925</v>
      </c>
      <c r="F20" s="3">
        <f>AVERAGE('60lb(ni=2,no=1)_T2 Marke'!D19,'60lb(ni=2,no=1_T1)'!D19,'60lb(ni=2,no=1_T3)'!D19)</f>
        <v>223.20342545436191</v>
      </c>
      <c r="G20" s="4">
        <f>_xlfn.STDEV.P('60lb(ni=2,no=1)_T2 Marke'!D19,'60lb(ni=2,no=1_T1)'!D19,'60lb(ni=2,no=1_T3)'!D19)</f>
        <v>41.416274989394424</v>
      </c>
      <c r="H20" s="3">
        <f>AVERAGE('60lb(ni=2,no=1)_T2 Marke'!E19,'60lb(ni=2,no=1_T1)'!E19,'60lb(ni=2,no=1_T3)'!E19)</f>
        <v>15.853671126390557</v>
      </c>
      <c r="I20" s="4">
        <f>_xlfn.STDEV.P('60lb(ni=2,no=1)_T2 Marke'!E19,'60lb(ni=2,no=1_T1)'!E19,'60lb(ni=2,no=1_T3)'!E19)</f>
        <v>7.0611065885953304</v>
      </c>
      <c r="J20" s="3">
        <f>AVERAGE('60lb(ni=2,no=1)_T2 Marke'!F19,'60lb(ni=2,no=1_T1)'!F19,'60lb(ni=2,no=1_T3)'!F19)</f>
        <v>15.252333492436485</v>
      </c>
      <c r="K20" s="4">
        <f>_xlfn.STDEV.P('60lb(ni=2,no=1)_T2 Marke'!F19,'60lb(ni=2,no=1_T1)'!F19,'60lb(ni=2,no=1_T3)'!F19)</f>
        <v>11.009378946981935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3554-58AF-44F5-9DDD-5E7AA5F91285}">
  <dimension ref="A1:F26"/>
  <sheetViews>
    <sheetView workbookViewId="0">
      <selection activeCell="J23" sqref="J23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556.1</v>
      </c>
      <c r="B2">
        <v>0</v>
      </c>
      <c r="C2">
        <v>53.672374798061398</v>
      </c>
      <c r="D2">
        <v>253.26138933764099</v>
      </c>
      <c r="E2">
        <v>45.301453957996799</v>
      </c>
      <c r="F2">
        <v>234.54991922455571</v>
      </c>
    </row>
    <row r="3" spans="1:6" x14ac:dyDescent="0.25">
      <c r="A3">
        <v>546.1</v>
      </c>
      <c r="B3">
        <v>0.02</v>
      </c>
      <c r="C3">
        <v>53.344103392568698</v>
      </c>
      <c r="D3">
        <v>255.55928917609</v>
      </c>
      <c r="E3">
        <v>39.884975767366697</v>
      </c>
      <c r="F3">
        <v>204.51308562197093</v>
      </c>
    </row>
    <row r="4" spans="1:6" x14ac:dyDescent="0.25">
      <c r="A4">
        <v>536.1</v>
      </c>
      <c r="B4">
        <v>0.03</v>
      </c>
      <c r="C4">
        <v>52.851696284329599</v>
      </c>
      <c r="D4">
        <v>253.91793214862699</v>
      </c>
      <c r="E4">
        <v>37.258804523424899</v>
      </c>
      <c r="F4">
        <v>175.62520193861064</v>
      </c>
    </row>
    <row r="5" spans="1:6" x14ac:dyDescent="0.25">
      <c r="A5">
        <v>526.1</v>
      </c>
      <c r="B5">
        <v>0.05</v>
      </c>
      <c r="C5">
        <v>52.523424878836799</v>
      </c>
      <c r="D5">
        <v>253.26138933764099</v>
      </c>
      <c r="E5">
        <v>36.7663974151858</v>
      </c>
      <c r="F5">
        <v>145.91663974151857</v>
      </c>
    </row>
    <row r="6" spans="1:6" x14ac:dyDescent="0.25">
      <c r="A6">
        <v>516.1</v>
      </c>
      <c r="B6">
        <v>0.05</v>
      </c>
      <c r="C6">
        <v>52.359289176090499</v>
      </c>
      <c r="D6">
        <v>253.91793214862699</v>
      </c>
      <c r="E6">
        <v>36.4381260096931</v>
      </c>
      <c r="F6">
        <v>121.13214862681744</v>
      </c>
    </row>
    <row r="7" spans="1:6" x14ac:dyDescent="0.25">
      <c r="A7">
        <v>506.1</v>
      </c>
      <c r="B7">
        <v>7.0000000000000007E-2</v>
      </c>
      <c r="C7">
        <v>52.195153473344099</v>
      </c>
      <c r="D7">
        <v>254.410339256866</v>
      </c>
      <c r="E7">
        <v>36.2739903069467</v>
      </c>
      <c r="F7">
        <v>97.660743134087227</v>
      </c>
    </row>
    <row r="8" spans="1:6" x14ac:dyDescent="0.25">
      <c r="A8">
        <v>496.1</v>
      </c>
      <c r="B8">
        <v>0.08</v>
      </c>
      <c r="C8">
        <v>50.553796445880501</v>
      </c>
      <c r="D8">
        <v>254.902746365105</v>
      </c>
      <c r="E8">
        <v>34.960904684975802</v>
      </c>
      <c r="F8">
        <v>88.961550888529885</v>
      </c>
    </row>
    <row r="9" spans="1:6" x14ac:dyDescent="0.25">
      <c r="A9">
        <v>486.1</v>
      </c>
      <c r="B9">
        <v>0.09</v>
      </c>
      <c r="C9">
        <v>49.568982229402302</v>
      </c>
      <c r="D9">
        <v>256.872374798061</v>
      </c>
      <c r="E9">
        <v>34.304361873990302</v>
      </c>
      <c r="F9">
        <v>79.934087237479801</v>
      </c>
    </row>
    <row r="10" spans="1:6" x14ac:dyDescent="0.25">
      <c r="A10">
        <v>476.1</v>
      </c>
      <c r="B10">
        <v>0.1</v>
      </c>
      <c r="C10">
        <v>49.404846526655902</v>
      </c>
      <c r="D10">
        <v>257.03651050080799</v>
      </c>
      <c r="E10">
        <v>32.006462035541198</v>
      </c>
      <c r="F10">
        <v>70.906623586429717</v>
      </c>
    </row>
    <row r="11" spans="1:6" x14ac:dyDescent="0.25">
      <c r="A11">
        <v>466.1</v>
      </c>
      <c r="B11">
        <v>0.17</v>
      </c>
      <c r="C11">
        <v>48.091760904685003</v>
      </c>
      <c r="D11">
        <v>257.52891760904703</v>
      </c>
      <c r="E11">
        <v>31.185783521809402</v>
      </c>
      <c r="F11">
        <v>61.222617124394176</v>
      </c>
    </row>
    <row r="12" spans="1:6" x14ac:dyDescent="0.25">
      <c r="A12">
        <v>456.1</v>
      </c>
      <c r="B12">
        <v>0.18</v>
      </c>
      <c r="C12">
        <v>48.091760904685003</v>
      </c>
      <c r="D12">
        <v>257.69305331179299</v>
      </c>
      <c r="E12">
        <v>30.200969305331199</v>
      </c>
      <c r="F12">
        <v>55.806138933764132</v>
      </c>
    </row>
    <row r="13" spans="1:6" x14ac:dyDescent="0.25">
      <c r="A13">
        <v>446.1</v>
      </c>
      <c r="B13">
        <v>0.2</v>
      </c>
      <c r="C13">
        <v>47.435218093699497</v>
      </c>
      <c r="D13">
        <v>259.17027463650999</v>
      </c>
      <c r="E13">
        <v>29.7085621970921</v>
      </c>
      <c r="F13">
        <v>49.076575121163167</v>
      </c>
    </row>
    <row r="14" spans="1:6" x14ac:dyDescent="0.25">
      <c r="A14">
        <v>436.1</v>
      </c>
      <c r="B14">
        <v>0.17</v>
      </c>
      <c r="C14">
        <v>46.614539579967698</v>
      </c>
      <c r="D14">
        <v>260.647495961228</v>
      </c>
      <c r="E14">
        <v>28.559612277867501</v>
      </c>
      <c r="F14">
        <v>43.495961227786751</v>
      </c>
    </row>
    <row r="15" spans="1:6" x14ac:dyDescent="0.25">
      <c r="A15">
        <v>426.1</v>
      </c>
      <c r="B15">
        <v>0.23</v>
      </c>
      <c r="C15">
        <v>45.793861066235898</v>
      </c>
      <c r="D15">
        <v>264.09434571890102</v>
      </c>
      <c r="E15">
        <v>27.738933764135702</v>
      </c>
      <c r="F15">
        <v>39.064297253634891</v>
      </c>
    </row>
    <row r="16" spans="1:6" x14ac:dyDescent="0.25">
      <c r="A16">
        <v>416.1</v>
      </c>
      <c r="B16">
        <v>0.28999999999999998</v>
      </c>
      <c r="C16">
        <v>44.3166397415186</v>
      </c>
      <c r="D16">
        <v>265.24329563812603</v>
      </c>
      <c r="E16">
        <v>26.918255250403899</v>
      </c>
      <c r="F16">
        <v>35.12504038772213</v>
      </c>
    </row>
    <row r="17" spans="1:6" x14ac:dyDescent="0.25">
      <c r="A17">
        <v>406.1</v>
      </c>
      <c r="B17">
        <v>0.32</v>
      </c>
      <c r="C17">
        <v>43.331825525040401</v>
      </c>
      <c r="D17">
        <v>268.85428109854598</v>
      </c>
      <c r="E17">
        <v>25.9334410339257</v>
      </c>
      <c r="F17">
        <v>32.00646203554119</v>
      </c>
    </row>
    <row r="18" spans="1:6" x14ac:dyDescent="0.25">
      <c r="A18">
        <v>396.1</v>
      </c>
      <c r="B18">
        <v>0.34</v>
      </c>
      <c r="C18">
        <v>43.167689822294001</v>
      </c>
      <c r="D18">
        <v>269.01841680129201</v>
      </c>
      <c r="E18">
        <v>25.4410339256866</v>
      </c>
      <c r="F18">
        <v>30.036833602584814</v>
      </c>
    </row>
    <row r="19" spans="1:6" x14ac:dyDescent="0.25">
      <c r="A19">
        <v>386.1</v>
      </c>
      <c r="B19">
        <v>0.37</v>
      </c>
      <c r="C19">
        <v>42.511147011308601</v>
      </c>
      <c r="D19">
        <v>270.988045234249</v>
      </c>
      <c r="E19">
        <v>24.948626817447501</v>
      </c>
      <c r="F19">
        <v>26.261712439418417</v>
      </c>
    </row>
    <row r="20" spans="1:6" x14ac:dyDescent="0.25">
      <c r="A20">
        <v>376.1</v>
      </c>
      <c r="B20">
        <v>0.42</v>
      </c>
      <c r="C20">
        <v>39.720840064620397</v>
      </c>
      <c r="D20">
        <v>275.419709208401</v>
      </c>
      <c r="E20">
        <v>24.620355411954801</v>
      </c>
      <c r="F20">
        <v>22.158319870759289</v>
      </c>
    </row>
    <row r="21" spans="1:6" x14ac:dyDescent="0.25">
      <c r="A21">
        <v>366.1</v>
      </c>
      <c r="B21">
        <v>0.51</v>
      </c>
      <c r="C21">
        <v>38.079483037156699</v>
      </c>
      <c r="D21">
        <v>281.16445880452301</v>
      </c>
      <c r="E21">
        <v>23.471405492730199</v>
      </c>
      <c r="F21">
        <v>18.875605815831985</v>
      </c>
    </row>
    <row r="22" spans="1:6" x14ac:dyDescent="0.25">
      <c r="A22">
        <v>356.1</v>
      </c>
      <c r="B22">
        <v>0.66</v>
      </c>
      <c r="C22">
        <v>34.468497576736702</v>
      </c>
      <c r="D22">
        <v>286.58093699515302</v>
      </c>
      <c r="E22">
        <v>20.516962843295602</v>
      </c>
      <c r="F22">
        <v>15.428756058158317</v>
      </c>
    </row>
    <row r="23" spans="1:6" x14ac:dyDescent="0.25">
      <c r="A23">
        <v>346.1</v>
      </c>
      <c r="B23">
        <v>0.82</v>
      </c>
      <c r="C23">
        <v>31.678190630048501</v>
      </c>
      <c r="D23">
        <v>287.23747980613899</v>
      </c>
      <c r="E23">
        <v>20.024555735056499</v>
      </c>
      <c r="F23">
        <v>13.130856219709209</v>
      </c>
    </row>
    <row r="24" spans="1:6" x14ac:dyDescent="0.25">
      <c r="A24">
        <v>336.1</v>
      </c>
      <c r="B24">
        <v>1.21</v>
      </c>
      <c r="C24">
        <v>29.8726978998384</v>
      </c>
      <c r="D24">
        <v>289.042972536349</v>
      </c>
      <c r="E24">
        <v>17.070113085622001</v>
      </c>
      <c r="F24">
        <v>10.668820678513731</v>
      </c>
    </row>
    <row r="25" spans="1:6" x14ac:dyDescent="0.25">
      <c r="A25">
        <v>326.10000000000002</v>
      </c>
      <c r="B25">
        <v>1.81</v>
      </c>
      <c r="C25">
        <v>25.1127625201939</v>
      </c>
      <c r="D25">
        <v>293.884975767367</v>
      </c>
      <c r="E25">
        <v>14.115670436187401</v>
      </c>
      <c r="F25">
        <v>8.2067851373182545</v>
      </c>
    </row>
    <row r="26" spans="1:6" x14ac:dyDescent="0.25">
      <c r="A26">
        <v>316.10000000000002</v>
      </c>
      <c r="B26">
        <v>2.97</v>
      </c>
      <c r="C26">
        <v>21.501777059773801</v>
      </c>
      <c r="D26">
        <v>297.21693053311799</v>
      </c>
      <c r="E26">
        <v>11.981906300484701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E42-CB3E-40EF-9BAB-D399A7D7C3FD}">
  <dimension ref="A1:F24"/>
  <sheetViews>
    <sheetView workbookViewId="0">
      <selection activeCell="J18" sqref="J18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434.27</v>
      </c>
      <c r="B2">
        <v>0</v>
      </c>
      <c r="C2">
        <v>47.28739105171411</v>
      </c>
      <c r="D2">
        <v>203.49517722254501</v>
      </c>
      <c r="E2">
        <v>37.192330040674022</v>
      </c>
    </row>
    <row r="3" spans="1:6" x14ac:dyDescent="0.25">
      <c r="A3">
        <v>424.27</v>
      </c>
      <c r="B3">
        <v>0</v>
      </c>
      <c r="C3">
        <v>44.80790238233584</v>
      </c>
      <c r="D3">
        <v>203.84938988959905</v>
      </c>
      <c r="E3">
        <v>36.129692039511909</v>
      </c>
    </row>
    <row r="4" spans="1:6" x14ac:dyDescent="0.25">
      <c r="A4">
        <v>414.27</v>
      </c>
      <c r="B4">
        <v>0</v>
      </c>
      <c r="C4">
        <v>45.693434049970939</v>
      </c>
      <c r="D4">
        <v>203.84938988959905</v>
      </c>
      <c r="E4">
        <v>34.535735037768731</v>
      </c>
    </row>
    <row r="5" spans="1:6" x14ac:dyDescent="0.25">
      <c r="A5">
        <v>404.27</v>
      </c>
      <c r="B5">
        <v>0</v>
      </c>
      <c r="C5">
        <v>45.870540383497961</v>
      </c>
      <c r="D5">
        <v>202.96385822196396</v>
      </c>
      <c r="E5">
        <v>34.004416037187674</v>
      </c>
    </row>
    <row r="6" spans="1:6" x14ac:dyDescent="0.25">
      <c r="A6">
        <v>394.27</v>
      </c>
      <c r="B6">
        <v>0</v>
      </c>
      <c r="C6">
        <v>45.516327716443918</v>
      </c>
      <c r="D6">
        <v>203.67228355607202</v>
      </c>
      <c r="E6">
        <v>33.473097036606617</v>
      </c>
    </row>
    <row r="7" spans="1:6" x14ac:dyDescent="0.25">
      <c r="A7">
        <v>384.27</v>
      </c>
      <c r="B7">
        <v>0</v>
      </c>
      <c r="C7">
        <v>44.453689715281804</v>
      </c>
      <c r="D7">
        <v>204.20360255665307</v>
      </c>
      <c r="E7">
        <v>33.295990703079596</v>
      </c>
    </row>
    <row r="8" spans="1:6" x14ac:dyDescent="0.25">
      <c r="A8">
        <v>374.27</v>
      </c>
      <c r="B8">
        <v>0</v>
      </c>
      <c r="C8">
        <v>44.27658338175479</v>
      </c>
      <c r="D8">
        <v>207.21441022661239</v>
      </c>
      <c r="E8">
        <v>32.764671702498546</v>
      </c>
    </row>
    <row r="9" spans="1:6" x14ac:dyDescent="0.25">
      <c r="A9">
        <v>364.27</v>
      </c>
      <c r="B9">
        <v>0</v>
      </c>
      <c r="C9">
        <v>41.265775711795463</v>
      </c>
      <c r="D9">
        <v>209.51679256246365</v>
      </c>
      <c r="E9">
        <v>29.753864032539216</v>
      </c>
    </row>
    <row r="10" spans="1:6" x14ac:dyDescent="0.25">
      <c r="A10">
        <v>354.27</v>
      </c>
      <c r="B10">
        <v>0.01</v>
      </c>
      <c r="C10">
        <v>41.265775711795463</v>
      </c>
      <c r="D10">
        <v>209.69389889599069</v>
      </c>
      <c r="E10">
        <v>27.451481696687971</v>
      </c>
    </row>
    <row r="11" spans="1:6" x14ac:dyDescent="0.25">
      <c r="A11">
        <v>344.27</v>
      </c>
      <c r="B11">
        <v>0.04</v>
      </c>
      <c r="C11">
        <v>39.494712376525271</v>
      </c>
      <c r="D11">
        <v>212.35049389889596</v>
      </c>
      <c r="E11">
        <v>24.971993027309701</v>
      </c>
    </row>
    <row r="12" spans="1:6" x14ac:dyDescent="0.25">
      <c r="A12">
        <v>334.27</v>
      </c>
      <c r="B12">
        <v>0.08</v>
      </c>
      <c r="C12">
        <v>37.369436374201037</v>
      </c>
      <c r="D12">
        <v>214.29866356769318</v>
      </c>
      <c r="E12">
        <v>23.909355026147587</v>
      </c>
    </row>
    <row r="13" spans="1:6" x14ac:dyDescent="0.25">
      <c r="A13">
        <v>324.27</v>
      </c>
      <c r="B13">
        <v>0.13</v>
      </c>
      <c r="C13">
        <v>36.838117373619987</v>
      </c>
      <c r="D13">
        <v>214.12155723416615</v>
      </c>
      <c r="E13">
        <v>21.784079023823356</v>
      </c>
    </row>
    <row r="14" spans="1:6" x14ac:dyDescent="0.25">
      <c r="A14">
        <v>314.27</v>
      </c>
      <c r="B14">
        <v>0.16</v>
      </c>
      <c r="C14">
        <v>36.129692039511909</v>
      </c>
      <c r="D14">
        <v>216.2468332364904</v>
      </c>
      <c r="E14">
        <v>21.252760023242299</v>
      </c>
    </row>
    <row r="15" spans="1:6" x14ac:dyDescent="0.25">
      <c r="A15">
        <v>304.27</v>
      </c>
      <c r="B15">
        <v>0.2</v>
      </c>
      <c r="C15">
        <v>35.775479372457866</v>
      </c>
      <c r="D15">
        <v>216.77815223707145</v>
      </c>
      <c r="E15">
        <v>21.075653689715278</v>
      </c>
    </row>
    <row r="16" spans="1:6" x14ac:dyDescent="0.25">
      <c r="A16">
        <v>294.27</v>
      </c>
      <c r="B16">
        <v>0.28000000000000003</v>
      </c>
      <c r="C16">
        <v>32.764671702498546</v>
      </c>
      <c r="D16">
        <v>219.78895990703077</v>
      </c>
      <c r="E16">
        <v>20.544334689134221</v>
      </c>
    </row>
    <row r="17" spans="1:5" x14ac:dyDescent="0.25">
      <c r="A17">
        <v>284.27</v>
      </c>
      <c r="B17">
        <v>0.39</v>
      </c>
      <c r="C17">
        <v>30.462289366647294</v>
      </c>
      <c r="D17">
        <v>222.9768739105171</v>
      </c>
      <c r="E17">
        <v>18.241952353282972</v>
      </c>
    </row>
    <row r="18" spans="1:5" x14ac:dyDescent="0.25">
      <c r="A18">
        <v>274.27</v>
      </c>
      <c r="B18">
        <v>0.54</v>
      </c>
      <c r="C18">
        <v>27.274375363160949</v>
      </c>
      <c r="D18">
        <v>227.5816385822196</v>
      </c>
      <c r="E18">
        <v>17.179314352120858</v>
      </c>
    </row>
    <row r="19" spans="1:5" x14ac:dyDescent="0.25">
      <c r="A19">
        <v>264.27</v>
      </c>
      <c r="B19">
        <v>0.85</v>
      </c>
      <c r="C19">
        <v>25.503312027890757</v>
      </c>
      <c r="D19">
        <v>228.64427658338172</v>
      </c>
      <c r="E19">
        <v>14.876932016269608</v>
      </c>
    </row>
    <row r="20" spans="1:5" x14ac:dyDescent="0.25">
      <c r="A20">
        <v>254.27</v>
      </c>
      <c r="B20">
        <v>1.35</v>
      </c>
      <c r="C20">
        <v>24.263567693201626</v>
      </c>
      <c r="D20">
        <v>229.70691458454385</v>
      </c>
      <c r="E20">
        <v>11.866124346310285</v>
      </c>
    </row>
    <row r="21" spans="1:5" x14ac:dyDescent="0.25">
      <c r="A21">
        <v>244.27</v>
      </c>
      <c r="B21">
        <v>2.15</v>
      </c>
      <c r="C21">
        <v>22.315398024404413</v>
      </c>
      <c r="D21">
        <v>230.0611272515979</v>
      </c>
      <c r="E21">
        <v>10.27216734456711</v>
      </c>
    </row>
    <row r="22" spans="1:5" x14ac:dyDescent="0.25">
      <c r="A22">
        <v>234.27</v>
      </c>
      <c r="B22">
        <v>3.01</v>
      </c>
      <c r="C22">
        <v>19.481696687972107</v>
      </c>
      <c r="D22">
        <v>232.18640325392209</v>
      </c>
      <c r="E22">
        <v>8.5011040092969186</v>
      </c>
    </row>
    <row r="23" spans="1:5" x14ac:dyDescent="0.25">
      <c r="A23">
        <v>224.27</v>
      </c>
      <c r="B23">
        <v>4.2300000000000004</v>
      </c>
      <c r="C23">
        <v>15.939570017431723</v>
      </c>
      <c r="D23">
        <v>231.47797791981404</v>
      </c>
      <c r="E23">
        <v>7.0842533410807667</v>
      </c>
    </row>
    <row r="24" spans="1:5" x14ac:dyDescent="0.25">
      <c r="A24">
        <v>214.27</v>
      </c>
      <c r="B24">
        <v>4.29</v>
      </c>
      <c r="C24">
        <v>12.869726902963398</v>
      </c>
      <c r="D24">
        <v>227.5816385822196</v>
      </c>
      <c r="E24">
        <v>5.667402672864613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BB4D-1BE1-4D10-874F-C85F05D1FB9A}">
  <dimension ref="A1:F19"/>
  <sheetViews>
    <sheetView workbookViewId="0">
      <selection activeCell="J18" sqref="J18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336.40568181818202</v>
      </c>
      <c r="B2">
        <v>0</v>
      </c>
      <c r="C2">
        <v>38.330909090909103</v>
      </c>
      <c r="D2">
        <v>154.42045454545499</v>
      </c>
      <c r="E2">
        <v>29.2388636363637</v>
      </c>
      <c r="F2">
        <v>183.890227272727</v>
      </c>
    </row>
    <row r="3" spans="1:6" x14ac:dyDescent="0.25">
      <c r="A3">
        <v>326.40568181818202</v>
      </c>
      <c r="B3">
        <v>0.04</v>
      </c>
      <c r="C3">
        <v>38.215454545454598</v>
      </c>
      <c r="D3">
        <v>155.66159090909099</v>
      </c>
      <c r="E3">
        <v>28.2575</v>
      </c>
      <c r="F3">
        <v>156.845</v>
      </c>
    </row>
    <row r="4" spans="1:6" x14ac:dyDescent="0.25">
      <c r="A4">
        <v>316.40568181818202</v>
      </c>
      <c r="B4">
        <v>0.14000000000000001</v>
      </c>
      <c r="C4">
        <v>38.417499999999997</v>
      </c>
      <c r="D4">
        <v>153.41022727272701</v>
      </c>
      <c r="E4">
        <v>28.170909090909099</v>
      </c>
      <c r="F4">
        <v>154.33386363636399</v>
      </c>
    </row>
    <row r="5" spans="1:6" x14ac:dyDescent="0.25">
      <c r="A5">
        <v>306.40568181818202</v>
      </c>
      <c r="B5">
        <v>0.17</v>
      </c>
      <c r="C5">
        <v>37.840227272727297</v>
      </c>
      <c r="D5">
        <v>154.65136363636401</v>
      </c>
      <c r="E5">
        <v>27.882272727272799</v>
      </c>
      <c r="F5">
        <v>123.738409090909</v>
      </c>
    </row>
    <row r="6" spans="1:6" x14ac:dyDescent="0.25">
      <c r="A6">
        <v>296.40568181818202</v>
      </c>
      <c r="B6">
        <v>0.19</v>
      </c>
      <c r="C6">
        <v>36.714545454545501</v>
      </c>
      <c r="D6">
        <v>154.766818181818</v>
      </c>
      <c r="E6">
        <v>27.247272727272801</v>
      </c>
      <c r="F6">
        <v>82.347954545454598</v>
      </c>
    </row>
    <row r="7" spans="1:6" x14ac:dyDescent="0.25">
      <c r="A7">
        <v>286.40568181818202</v>
      </c>
      <c r="B7">
        <v>0.19</v>
      </c>
      <c r="C7">
        <v>36.079545454545503</v>
      </c>
      <c r="D7">
        <v>156.12340909090901</v>
      </c>
      <c r="E7">
        <v>26.929772727272798</v>
      </c>
      <c r="F7">
        <v>71.408636363636404</v>
      </c>
    </row>
    <row r="8" spans="1:6" x14ac:dyDescent="0.25">
      <c r="A8">
        <v>276.40568181818202</v>
      </c>
      <c r="B8">
        <v>0.27</v>
      </c>
      <c r="C8">
        <v>35.357954545454596</v>
      </c>
      <c r="D8">
        <v>156.06568181818199</v>
      </c>
      <c r="E8">
        <v>25.544318181818198</v>
      </c>
      <c r="F8">
        <v>57.958181818181899</v>
      </c>
    </row>
    <row r="9" spans="1:6" x14ac:dyDescent="0.25">
      <c r="A9">
        <v>266.40568181818202</v>
      </c>
      <c r="B9">
        <v>0.32</v>
      </c>
      <c r="C9">
        <v>34.838409090909103</v>
      </c>
      <c r="D9">
        <v>156.845</v>
      </c>
      <c r="E9">
        <v>24.4763636363637</v>
      </c>
      <c r="F9">
        <v>43.497500000000102</v>
      </c>
    </row>
    <row r="10" spans="1:6" x14ac:dyDescent="0.25">
      <c r="A10">
        <v>256.40568181818202</v>
      </c>
      <c r="B10">
        <v>0.33</v>
      </c>
      <c r="C10">
        <v>33.5684090909091</v>
      </c>
      <c r="D10">
        <v>157.508863636364</v>
      </c>
      <c r="E10">
        <v>23.321818181818202</v>
      </c>
      <c r="F10">
        <v>34.9538636363637</v>
      </c>
    </row>
    <row r="11" spans="1:6" x14ac:dyDescent="0.25">
      <c r="A11">
        <v>246.40568181818199</v>
      </c>
      <c r="B11">
        <v>0.47</v>
      </c>
      <c r="C11">
        <v>31.663409090909099</v>
      </c>
      <c r="D11">
        <v>159.413863636364</v>
      </c>
      <c r="E11">
        <v>22.109545454545501</v>
      </c>
      <c r="F11">
        <v>28.372954545454601</v>
      </c>
    </row>
    <row r="12" spans="1:6" x14ac:dyDescent="0.25">
      <c r="A12">
        <v>236.40568181818199</v>
      </c>
      <c r="B12">
        <v>0.49</v>
      </c>
      <c r="C12">
        <v>30.797499999999999</v>
      </c>
      <c r="D12">
        <v>160.68386363636401</v>
      </c>
      <c r="E12">
        <v>21.214772727272798</v>
      </c>
      <c r="F12">
        <v>21.243636363636401</v>
      </c>
    </row>
    <row r="13" spans="1:6" x14ac:dyDescent="0.25">
      <c r="A13">
        <v>226.40568181818199</v>
      </c>
      <c r="B13">
        <v>0.64</v>
      </c>
      <c r="C13">
        <v>28.5172727272728</v>
      </c>
      <c r="D13">
        <v>160.45295454545499</v>
      </c>
      <c r="E13">
        <v>18.443863636363702</v>
      </c>
      <c r="F13">
        <v>17.491363636363701</v>
      </c>
    </row>
    <row r="14" spans="1:6" x14ac:dyDescent="0.25">
      <c r="A14">
        <v>216.40568181818199</v>
      </c>
      <c r="B14">
        <v>0.73</v>
      </c>
      <c r="C14">
        <v>27.651363636363701</v>
      </c>
      <c r="D14">
        <v>160.828181818182</v>
      </c>
      <c r="E14">
        <v>18.617045454545501</v>
      </c>
      <c r="F14">
        <v>14.2586363636364</v>
      </c>
    </row>
    <row r="15" spans="1:6" x14ac:dyDescent="0.25">
      <c r="A15">
        <v>206.40568181818199</v>
      </c>
      <c r="B15">
        <v>0.96</v>
      </c>
      <c r="C15">
        <v>25.832954545454601</v>
      </c>
      <c r="D15">
        <v>163.137272727273</v>
      </c>
      <c r="E15">
        <v>16.048181818181799</v>
      </c>
      <c r="F15">
        <v>11.025909090909099</v>
      </c>
    </row>
    <row r="16" spans="1:6" x14ac:dyDescent="0.25">
      <c r="A16">
        <v>196.40568181818199</v>
      </c>
      <c r="B16">
        <v>1.34</v>
      </c>
      <c r="C16">
        <v>24.0722727272728</v>
      </c>
      <c r="D16">
        <v>165.186590909091</v>
      </c>
      <c r="E16">
        <v>12.7288636363637</v>
      </c>
      <c r="F16">
        <v>8.3415909090909199</v>
      </c>
    </row>
    <row r="17" spans="1:6" x14ac:dyDescent="0.25">
      <c r="A17">
        <v>186.40568181818199</v>
      </c>
      <c r="B17">
        <v>2.02</v>
      </c>
      <c r="C17">
        <v>21.359090909090899</v>
      </c>
      <c r="D17">
        <v>166.71636363636401</v>
      </c>
      <c r="E17">
        <v>10.3043181818182</v>
      </c>
      <c r="F17">
        <v>6.1190909090909198</v>
      </c>
    </row>
    <row r="18" spans="1:6" x14ac:dyDescent="0.25">
      <c r="A18">
        <v>176.40568181818199</v>
      </c>
      <c r="B18">
        <v>2.62</v>
      </c>
      <c r="C18">
        <v>18.963409090909099</v>
      </c>
      <c r="D18">
        <v>170.324318181818</v>
      </c>
      <c r="E18">
        <v>9.9290909090909203</v>
      </c>
      <c r="F18">
        <v>5.1088636363636404</v>
      </c>
    </row>
    <row r="19" spans="1:6" x14ac:dyDescent="0.25">
      <c r="A19">
        <v>166.40568181818199</v>
      </c>
      <c r="B19">
        <v>3.85</v>
      </c>
      <c r="C19">
        <v>16.192499999999999</v>
      </c>
      <c r="D19">
        <v>169.97795454545499</v>
      </c>
      <c r="E19">
        <v>7.7354545454545596</v>
      </c>
      <c r="F19">
        <v>4.2429545454545501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951AE-E697-47A7-B9F9-3476C074C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60lb(ni=2,no=1)_T2 Marke</vt:lpstr>
      <vt:lpstr>60lb(ni=2,no=1_T1)</vt:lpstr>
      <vt:lpstr>60lb(ni=2,no=1_T3)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Akibul Islam</dc:creator>
  <cp:lastModifiedBy>Md. Akibul Islam</cp:lastModifiedBy>
  <dcterms:created xsi:type="dcterms:W3CDTF">2026-05-13T18:13:26Z</dcterms:created>
  <dcterms:modified xsi:type="dcterms:W3CDTF">2026-05-13T19:46:42Z</dcterms:modified>
</cp:coreProperties>
</file>