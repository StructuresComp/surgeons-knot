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PHD\UCLA\Knot\Test data - Modified\Surgeon Knot\With Standard Deviation\"/>
    </mc:Choice>
  </mc:AlternateContent>
  <xr:revisionPtr revIDLastSave="0" documentId="13_ncr:1_{871E97D2-631B-4615-AE8F-9CA06E8D4327}" xr6:coauthVersionLast="47" xr6:coauthVersionMax="47" xr10:uidLastSave="{00000000-0000-0000-0000-000000000000}"/>
  <bookViews>
    <workbookView xWindow="-120" yWindow="-120" windowWidth="29040" windowHeight="15720" xr2:uid="{778308DE-EE87-45D1-8653-0828AEFA584A}"/>
  </bookViews>
  <sheets>
    <sheet name="Summary" sheetId="5" r:id="rId1"/>
    <sheet name="30lb(ni=1,no=1)_T1 Marke" sheetId="1" r:id="rId2"/>
    <sheet name="30lb(ni=1,no=1_T2)" sheetId="4" r:id="rId3"/>
    <sheet name="30lb(ni=1,no=1_T3)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4" i="5" l="1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3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3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0F5904-2ED3-4DDC-AD85-FD7F0BB09138}" keepAlive="1" name="Query - 30lb(ni=1,no=1_T1)" description="Connection to the '30lb(ni=1,no=1_T1)' query in the workbook." type="5" refreshedVersion="0" background="1">
    <dbPr connection="Provider=Microsoft.Mashup.OleDb.1;Data Source=$Workbook$;Location=&quot;30lb(ni=1,no=1_T1)&quot;;Extended Properties=&quot;&quot;" command="SELECT * FROM [30lb(ni=1,no=1_T1)]"/>
  </connection>
</connections>
</file>

<file path=xl/sharedStrings.xml><?xml version="1.0" encoding="utf-8"?>
<sst xmlns="http://schemas.openxmlformats.org/spreadsheetml/2006/main" count="34" uniqueCount="8">
  <si>
    <t>F (N)</t>
  </si>
  <si>
    <t>L_bi (mm)</t>
  </si>
  <si>
    <t>L_li (mm)</t>
  </si>
  <si>
    <t>L_bo (mm)</t>
  </si>
  <si>
    <t>R_bi (mm)</t>
  </si>
  <si>
    <t>e(mm)</t>
  </si>
  <si>
    <t>ave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</si>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</sst>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C157A-7AAC-411D-A08A-5424BB73013D}">
  <dimension ref="A1:K19"/>
  <sheetViews>
    <sheetView tabSelected="1" workbookViewId="0">
      <selection activeCell="M17" sqref="M17"/>
    </sheetView>
  </sheetViews>
  <sheetFormatPr defaultRowHeight="15" x14ac:dyDescent="0.25"/>
  <sheetData>
    <row r="1" spans="1:11" x14ac:dyDescent="0.25">
      <c r="A1" s="1" t="s">
        <v>5</v>
      </c>
      <c r="B1" s="5" t="s">
        <v>0</v>
      </c>
      <c r="C1" s="6"/>
      <c r="D1" s="5" t="s">
        <v>1</v>
      </c>
      <c r="E1" s="6"/>
      <c r="F1" s="5" t="s">
        <v>2</v>
      </c>
      <c r="G1" s="6"/>
      <c r="H1" s="5" t="s">
        <v>3</v>
      </c>
      <c r="I1" s="6"/>
      <c r="J1" s="5" t="s">
        <v>4</v>
      </c>
      <c r="K1" s="6"/>
    </row>
    <row r="2" spans="1:11" x14ac:dyDescent="0.25">
      <c r="A2" s="2"/>
      <c r="B2" s="7" t="s">
        <v>6</v>
      </c>
      <c r="C2" s="8" t="s">
        <v>7</v>
      </c>
      <c r="D2" s="7" t="s">
        <v>6</v>
      </c>
      <c r="E2" s="8" t="s">
        <v>7</v>
      </c>
      <c r="F2" s="7" t="s">
        <v>6</v>
      </c>
      <c r="G2" s="8" t="s">
        <v>7</v>
      </c>
      <c r="H2" s="7" t="s">
        <v>6</v>
      </c>
      <c r="I2" s="8" t="s">
        <v>7</v>
      </c>
      <c r="J2" s="7" t="s">
        <v>6</v>
      </c>
      <c r="K2" s="8" t="s">
        <v>7</v>
      </c>
    </row>
    <row r="3" spans="1:11" x14ac:dyDescent="0.25">
      <c r="A3" s="3">
        <f>AVERAGE('30lb(ni=1,no=1)_T1 Marke'!A2,'30lb(ni=1,no=1_T2)'!A2,'30lb(ni=1,no=1_T3)'!A2)</f>
        <v>318.74324088977733</v>
      </c>
      <c r="B3" s="9">
        <f>AVERAGE('30lb(ni=1,no=1)_T1 Marke'!B2,'30lb(ni=1,no=1_T2)'!B2,'30lb(ni=1,no=1_T3)'!B2)</f>
        <v>0</v>
      </c>
      <c r="C3" s="10">
        <f>_xlfn.STDEV.P('30lb(ni=1,no=1)_T1 Marke'!B2,'30lb(ni=1,no=1_T2)'!B2,'30lb(ni=1,no=1_T3)'!B2)</f>
        <v>0</v>
      </c>
      <c r="D3" s="9">
        <f>AVERAGE('30lb(ni=1,no=1)_T1 Marke'!C2,'30lb(ni=1,no=1_T2)'!C2,'30lb(ni=1,no=1_T3)'!C2)</f>
        <v>19.276170509102531</v>
      </c>
      <c r="E3" s="10">
        <f>_xlfn.STDEV.P('30lb(ni=1,no=1)_T1 Marke'!C2,'30lb(ni=1,no=1_T2)'!C2,'30lb(ni=1,no=1_T3)'!C2)</f>
        <v>1.0997617534018513</v>
      </c>
      <c r="F3" s="9">
        <f>AVERAGE('30lb(ni=1,no=1)_T1 Marke'!D2,'30lb(ni=1,no=1_T2)'!D2,'30lb(ni=1,no=1_T3)'!D2)</f>
        <v>171.89189127128398</v>
      </c>
      <c r="G3" s="10">
        <f>_xlfn.STDEV.P('30lb(ni=1,no=1)_T1 Marke'!D2,'30lb(ni=1,no=1_T2)'!D2,'30lb(ni=1,no=1_T3)'!D2)</f>
        <v>27.47644632158136</v>
      </c>
      <c r="H3" s="9">
        <f>AVERAGE('30lb(ni=1,no=1)_T1 Marke'!E2,'30lb(ni=1,no=1_T2)'!E2,'30lb(ni=1,no=1_T3)'!E2)</f>
        <v>23.005058494138268</v>
      </c>
      <c r="I3" s="10">
        <f>_xlfn.STDEV.P('30lb(ni=1,no=1)_T1 Marke'!E2,'30lb(ni=1,no=1_T2)'!E2,'30lb(ni=1,no=1_T3)'!E2)</f>
        <v>3.4630000397742196</v>
      </c>
      <c r="J3" s="9">
        <f>AVERAGE('30lb(ni=1,no=1)_T1 Marke'!F2,'30lb(ni=1,no=1_T2)'!F2,'30lb(ni=1,no=1_T3)'!F2)</f>
        <v>73.185685509981354</v>
      </c>
      <c r="K3" s="10">
        <f>_xlfn.STDEV.P('30lb(ni=1,no=1)_T1 Marke'!F2,'30lb(ni=1,no=1_T2)'!F2,'30lb(ni=1,no=1_T3)'!F2)</f>
        <v>8.7256586696060374</v>
      </c>
    </row>
    <row r="4" spans="1:11" x14ac:dyDescent="0.25">
      <c r="A4" s="3">
        <f>AVERAGE('30lb(ni=1,no=1)_T1 Marke'!A3,'30lb(ni=1,no=1_T2)'!A3,'30lb(ni=1,no=1_T3)'!A3)</f>
        <v>308.74324088977733</v>
      </c>
      <c r="B4" s="9">
        <f>AVERAGE('30lb(ni=1,no=1)_T1 Marke'!B3,'30lb(ni=1,no=1_T2)'!B3,'30lb(ni=1,no=1_T3)'!B3)</f>
        <v>2.6666666666666668E-2</v>
      </c>
      <c r="C4" s="10">
        <f>_xlfn.STDEV.P('30lb(ni=1,no=1)_T1 Marke'!B3,'30lb(ni=1,no=1_T2)'!B3,'30lb(ni=1,no=1_T3)'!B3)</f>
        <v>4.7140452079103157E-3</v>
      </c>
      <c r="D4" s="9">
        <f>AVERAGE('30lb(ni=1,no=1)_T1 Marke'!C3,'30lb(ni=1,no=1_T2)'!C3,'30lb(ni=1,no=1_T3)'!C3)</f>
        <v>18.4763408343509</v>
      </c>
      <c r="E4" s="10">
        <f>_xlfn.STDEV.P('30lb(ni=1,no=1)_T1 Marke'!C3,'30lb(ni=1,no=1_T2)'!C3,'30lb(ni=1,no=1_T3)'!C3)</f>
        <v>1.3788761450328961</v>
      </c>
      <c r="F4" s="9">
        <f>AVERAGE('30lb(ni=1,no=1)_T1 Marke'!D3,'30lb(ni=1,no=1_T2)'!D3,'30lb(ni=1,no=1_T3)'!D3)</f>
        <v>172.05308586836202</v>
      </c>
      <c r="G4" s="10">
        <f>_xlfn.STDEV.P('30lb(ni=1,no=1)_T1 Marke'!D3,'30lb(ni=1,no=1_T2)'!D3,'30lb(ni=1,no=1_T3)'!D3)</f>
        <v>27.533060913006022</v>
      </c>
      <c r="H4" s="9">
        <f>AVERAGE('30lb(ni=1,no=1)_T1 Marke'!E3,'30lb(ni=1,no=1_T2)'!E3,'30lb(ni=1,no=1_T3)'!E3)</f>
        <v>21.513643788582399</v>
      </c>
      <c r="I4" s="10">
        <f>_xlfn.STDEV.P('30lb(ni=1,no=1)_T1 Marke'!E3,'30lb(ni=1,no=1_T2)'!E3,'30lb(ni=1,no=1_T3)'!E3)</f>
        <v>3.5729159645308899</v>
      </c>
      <c r="J4" s="9">
        <f>AVERAGE('30lb(ni=1,no=1)_T1 Marke'!F3,'30lb(ni=1,no=1_T2)'!F3,'30lb(ni=1,no=1_T3)'!F3)</f>
        <v>60.703288425900247</v>
      </c>
      <c r="K4" s="10">
        <f>_xlfn.STDEV.P('30lb(ni=1,no=1)_T1 Marke'!F3,'30lb(ni=1,no=1_T2)'!F3,'30lb(ni=1,no=1_T3)'!F3)</f>
        <v>5.6256033510737824</v>
      </c>
    </row>
    <row r="5" spans="1:11" x14ac:dyDescent="0.25">
      <c r="A5" s="3">
        <f>AVERAGE('30lb(ni=1,no=1)_T1 Marke'!A4,'30lb(ni=1,no=1_T2)'!A4,'30lb(ni=1,no=1_T3)'!A4)</f>
        <v>298.74324088977733</v>
      </c>
      <c r="B5" s="9">
        <f>AVERAGE('30lb(ni=1,no=1)_T1 Marke'!B4,'30lb(ni=1,no=1_T2)'!B4,'30lb(ni=1,no=1_T3)'!B4)</f>
        <v>3.3333333333333333E-2</v>
      </c>
      <c r="C5" s="10">
        <f>_xlfn.STDEV.P('30lb(ni=1,no=1)_T1 Marke'!B4,'30lb(ni=1,no=1_T2)'!B4,'30lb(ni=1,no=1_T3)'!B4)</f>
        <v>1.2472191289246464E-2</v>
      </c>
      <c r="D5" s="9">
        <f>AVERAGE('30lb(ni=1,no=1)_T1 Marke'!C4,'30lb(ni=1,no=1_T2)'!C4,'30lb(ni=1,no=1_T3)'!C4)</f>
        <v>17.871568614980934</v>
      </c>
      <c r="E5" s="10">
        <f>_xlfn.STDEV.P('30lb(ni=1,no=1)_T1 Marke'!C4,'30lb(ni=1,no=1_T2)'!C4,'30lb(ni=1,no=1_T3)'!C4)</f>
        <v>1.407161888859072</v>
      </c>
      <c r="F5" s="9">
        <f>AVERAGE('30lb(ni=1,no=1)_T1 Marke'!D4,'30lb(ni=1,no=1_T2)'!D4,'30lb(ni=1,no=1_T3)'!D4)</f>
        <v>172.49287593160466</v>
      </c>
      <c r="G5" s="10">
        <f>_xlfn.STDEV.P('30lb(ni=1,no=1)_T1 Marke'!D4,'30lb(ni=1,no=1_T2)'!D4,'30lb(ni=1,no=1_T3)'!D4)</f>
        <v>27.222988862720204</v>
      </c>
      <c r="H5" s="9">
        <f>AVERAGE('30lb(ni=1,no=1)_T1 Marke'!E4,'30lb(ni=1,no=1_T2)'!E4,'30lb(ni=1,no=1_T3)'!E4)</f>
        <v>20.545634254377035</v>
      </c>
      <c r="I5" s="10">
        <f>_xlfn.STDEV.P('30lb(ni=1,no=1)_T1 Marke'!E4,'30lb(ni=1,no=1_T2)'!E4,'30lb(ni=1,no=1_T3)'!E4)</f>
        <v>3.1930815076681953</v>
      </c>
      <c r="J5" s="9">
        <f>AVERAGE('30lb(ni=1,no=1)_T1 Marke'!F4,'30lb(ni=1,no=1_T2)'!F4,'30lb(ni=1,no=1_T3)'!F4)</f>
        <v>45.960935013922068</v>
      </c>
      <c r="K5" s="10">
        <f>_xlfn.STDEV.P('30lb(ni=1,no=1)_T1 Marke'!F4,'30lb(ni=1,no=1_T2)'!F4,'30lb(ni=1,no=1_T3)'!F4)</f>
        <v>3.5391090121293951</v>
      </c>
    </row>
    <row r="6" spans="1:11" x14ac:dyDescent="0.25">
      <c r="A6" s="3">
        <f>AVERAGE('30lb(ni=1,no=1)_T1 Marke'!A5,'30lb(ni=1,no=1_T2)'!A5,'30lb(ni=1,no=1_T3)'!A5)</f>
        <v>288.74324088977733</v>
      </c>
      <c r="B6" s="9">
        <f>AVERAGE('30lb(ni=1,no=1)_T1 Marke'!B5,'30lb(ni=1,no=1_T2)'!B5,'30lb(ni=1,no=1_T3)'!B5)</f>
        <v>4.3333333333333335E-2</v>
      </c>
      <c r="C6" s="10">
        <f>_xlfn.STDEV.P('30lb(ni=1,no=1)_T1 Marke'!B5,'30lb(ni=1,no=1_T2)'!B5,'30lb(ni=1,no=1_T3)'!B5)</f>
        <v>1.2472191289246449E-2</v>
      </c>
      <c r="D6" s="9">
        <f>AVERAGE('30lb(ni=1,no=1)_T1 Marke'!C5,'30lb(ni=1,no=1_T2)'!C5,'30lb(ni=1,no=1_T3)'!C5)</f>
        <v>16.853963473155002</v>
      </c>
      <c r="E6" s="10">
        <f>_xlfn.STDEV.P('30lb(ni=1,no=1)_T1 Marke'!C5,'30lb(ni=1,no=1_T2)'!C5,'30lb(ni=1,no=1_T3)'!C5)</f>
        <v>1.222397120655965</v>
      </c>
      <c r="F6" s="9">
        <f>AVERAGE('30lb(ni=1,no=1)_T1 Marke'!D5,'30lb(ni=1,no=1_T2)'!D5,'30lb(ni=1,no=1_T3)'!D5)</f>
        <v>173.77536790099467</v>
      </c>
      <c r="G6" s="10">
        <f>_xlfn.STDEV.P('30lb(ni=1,no=1)_T1 Marke'!D5,'30lb(ni=1,no=1_T2)'!D5,'30lb(ni=1,no=1_T3)'!D5)</f>
        <v>27.163485367763851</v>
      </c>
      <c r="H6" s="9">
        <f>AVERAGE('30lb(ni=1,no=1)_T1 Marke'!E5,'30lb(ni=1,no=1_T2)'!E5,'30lb(ni=1,no=1_T3)'!E5)</f>
        <v>19.163662260719832</v>
      </c>
      <c r="I6" s="10">
        <f>_xlfn.STDEV.P('30lb(ni=1,no=1)_T1 Marke'!E5,'30lb(ni=1,no=1_T2)'!E5,'30lb(ni=1,no=1_T3)'!E5)</f>
        <v>2.4548976678961387</v>
      </c>
      <c r="J6" s="9">
        <f>AVERAGE('30lb(ni=1,no=1)_T1 Marke'!F5,'30lb(ni=1,no=1_T2)'!F5,'30lb(ni=1,no=1_T3)'!F5)</f>
        <v>37.777588778036822</v>
      </c>
      <c r="K6" s="10">
        <f>_xlfn.STDEV.P('30lb(ni=1,no=1)_T1 Marke'!F5,'30lb(ni=1,no=1_T2)'!F5,'30lb(ni=1,no=1_T3)'!F5)</f>
        <v>2.4618208368978438</v>
      </c>
    </row>
    <row r="7" spans="1:11" x14ac:dyDescent="0.25">
      <c r="A7" s="3">
        <f>AVERAGE('30lb(ni=1,no=1)_T1 Marke'!A6,'30lb(ni=1,no=1_T2)'!A6,'30lb(ni=1,no=1_T3)'!A6)</f>
        <v>278.74324088977733</v>
      </c>
      <c r="B7" s="9">
        <f>AVERAGE('30lb(ni=1,no=1)_T1 Marke'!B6,'30lb(ni=1,no=1_T2)'!B6,'30lb(ni=1,no=1_T3)'!B6)</f>
        <v>4.6666666666666669E-2</v>
      </c>
      <c r="C7" s="10">
        <f>_xlfn.STDEV.P('30lb(ni=1,no=1)_T1 Marke'!B6,'30lb(ni=1,no=1_T2)'!B6,'30lb(ni=1,no=1_T3)'!B6)</f>
        <v>1.2472191289246464E-2</v>
      </c>
      <c r="D7" s="9">
        <f>AVERAGE('30lb(ni=1,no=1)_T1 Marke'!C6,'30lb(ni=1,no=1_T2)'!C6,'30lb(ni=1,no=1_T3)'!C6)</f>
        <v>16.110097889801597</v>
      </c>
      <c r="E7" s="10">
        <f>_xlfn.STDEV.P('30lb(ni=1,no=1)_T1 Marke'!C6,'30lb(ni=1,no=1_T2)'!C6,'30lb(ni=1,no=1_T3)'!C6)</f>
        <v>1.2363616095115622</v>
      </c>
      <c r="F7" s="9">
        <f>AVERAGE('30lb(ni=1,no=1)_T1 Marke'!D6,'30lb(ni=1,no=1_T2)'!D6,'30lb(ni=1,no=1_T3)'!D6)</f>
        <v>173.60826618032036</v>
      </c>
      <c r="G7" s="10">
        <f>_xlfn.STDEV.P('30lb(ni=1,no=1)_T1 Marke'!D6,'30lb(ni=1,no=1_T2)'!D6,'30lb(ni=1,no=1_T3)'!D6)</f>
        <v>27.282667792451544</v>
      </c>
      <c r="H7" s="9">
        <f>AVERAGE('30lb(ni=1,no=1)_T1 Marke'!E6,'30lb(ni=1,no=1_T2)'!E6,'30lb(ni=1,no=1_T3)'!E6)</f>
        <v>18.269496054652098</v>
      </c>
      <c r="I7" s="10">
        <f>_xlfn.STDEV.P('30lb(ni=1,no=1)_T1 Marke'!E6,'30lb(ni=1,no=1_T2)'!E6,'30lb(ni=1,no=1_T3)'!E6)</f>
        <v>2.3158573973558823</v>
      </c>
      <c r="J7" s="9">
        <f>AVERAGE('30lb(ni=1,no=1)_T1 Marke'!F6,'30lb(ni=1,no=1_T2)'!F6,'30lb(ni=1,no=1_T3)'!F6)</f>
        <v>30.36915999087282</v>
      </c>
      <c r="K7" s="10">
        <f>_xlfn.STDEV.P('30lb(ni=1,no=1)_T1 Marke'!F6,'30lb(ni=1,no=1_T2)'!F6,'30lb(ni=1,no=1_T3)'!F6)</f>
        <v>3.4943775677139133</v>
      </c>
    </row>
    <row r="8" spans="1:11" x14ac:dyDescent="0.25">
      <c r="A8" s="3">
        <f>AVERAGE('30lb(ni=1,no=1)_T1 Marke'!A7,'30lb(ni=1,no=1_T2)'!A7,'30lb(ni=1,no=1_T3)'!A7)</f>
        <v>268.74324088977733</v>
      </c>
      <c r="B8" s="9">
        <f>AVERAGE('30lb(ni=1,no=1)_T1 Marke'!B7,'30lb(ni=1,no=1_T2)'!B7,'30lb(ni=1,no=1_T3)'!B7)</f>
        <v>0.06</v>
      </c>
      <c r="C8" s="10">
        <f>_xlfn.STDEV.P('30lb(ni=1,no=1)_T1 Marke'!B7,'30lb(ni=1,no=1_T2)'!B7,'30lb(ni=1,no=1_T3)'!B7)</f>
        <v>8.1649658092772838E-3</v>
      </c>
      <c r="D8" s="9">
        <f>AVERAGE('30lb(ni=1,no=1)_T1 Marke'!C7,'30lb(ni=1,no=1_T2)'!C7,'30lb(ni=1,no=1_T3)'!C7)</f>
        <v>15.253765666145533</v>
      </c>
      <c r="E8" s="10">
        <f>_xlfn.STDEV.P('30lb(ni=1,no=1)_T1 Marke'!C7,'30lb(ni=1,no=1_T2)'!C7,'30lb(ni=1,no=1_T3)'!C7)</f>
        <v>1.3243083365718282</v>
      </c>
      <c r="F8" s="9">
        <f>AVERAGE('30lb(ni=1,no=1)_T1 Marke'!D7,'30lb(ni=1,no=1_T2)'!D7,'30lb(ni=1,no=1_T3)'!D7)</f>
        <v>174.73685230923866</v>
      </c>
      <c r="G8" s="10">
        <f>_xlfn.STDEV.P('30lb(ni=1,no=1)_T1 Marke'!D7,'30lb(ni=1,no=1_T2)'!D7,'30lb(ni=1,no=1_T3)'!D7)</f>
        <v>27.000986565361224</v>
      </c>
      <c r="H8" s="9">
        <f>AVERAGE('30lb(ni=1,no=1)_T1 Marke'!E7,'30lb(ni=1,no=1_T2)'!E7,'30lb(ni=1,no=1_T3)'!E7)</f>
        <v>17.903575018655268</v>
      </c>
      <c r="I8" s="10">
        <f>_xlfn.STDEV.P('30lb(ni=1,no=1)_T1 Marke'!E7,'30lb(ni=1,no=1_T2)'!E7,'30lb(ni=1,no=1_T3)'!E7)</f>
        <v>2.4250112903817147</v>
      </c>
      <c r="J8" s="9">
        <f>AVERAGE('30lb(ni=1,no=1)_T1 Marke'!F7,'30lb(ni=1,no=1_T2)'!F7,'30lb(ni=1,no=1_T3)'!F7)</f>
        <v>27.58271582240231</v>
      </c>
      <c r="K8" s="10">
        <f>_xlfn.STDEV.P('30lb(ni=1,no=1)_T1 Marke'!F7,'30lb(ni=1,no=1_T2)'!F7,'30lb(ni=1,no=1_T3)'!F7)</f>
        <v>3.7863598425591056</v>
      </c>
    </row>
    <row r="9" spans="1:11" x14ac:dyDescent="0.25">
      <c r="A9" s="3">
        <f>AVERAGE('30lb(ni=1,no=1)_T1 Marke'!A8,'30lb(ni=1,no=1_T2)'!A8,'30lb(ni=1,no=1_T3)'!A8)</f>
        <v>258.74324088977733</v>
      </c>
      <c r="B9" s="9">
        <f>AVERAGE('30lb(ni=1,no=1)_T1 Marke'!B8,'30lb(ni=1,no=1_T2)'!B8,'30lb(ni=1,no=1_T3)'!B8)</f>
        <v>7.3333333333333334E-2</v>
      </c>
      <c r="C9" s="10">
        <f>_xlfn.STDEV.P('30lb(ni=1,no=1)_T1 Marke'!B8,'30lb(ni=1,no=1_T2)'!B8,'30lb(ni=1,no=1_T3)'!B8)</f>
        <v>1.8856180831641273E-2</v>
      </c>
      <c r="D9" s="9">
        <f>AVERAGE('30lb(ni=1,no=1)_T1 Marke'!C8,'30lb(ni=1,no=1_T2)'!C8,'30lb(ni=1,no=1_T3)'!C8)</f>
        <v>14.728031666080801</v>
      </c>
      <c r="E9" s="10">
        <f>_xlfn.STDEV.P('30lb(ni=1,no=1)_T1 Marke'!C8,'30lb(ni=1,no=1_T2)'!C8,'30lb(ni=1,no=1_T3)'!C8)</f>
        <v>1.4123409046046211</v>
      </c>
      <c r="F9" s="9">
        <f>AVERAGE('30lb(ni=1,no=1)_T1 Marke'!D8,'30lb(ni=1,no=1_T2)'!D8,'30lb(ni=1,no=1_T3)'!D8)</f>
        <v>174.64857954370268</v>
      </c>
      <c r="G9" s="10">
        <f>_xlfn.STDEV.P('30lb(ni=1,no=1)_T1 Marke'!D8,'30lb(ni=1,no=1_T2)'!D8,'30lb(ni=1,no=1_T3)'!D8)</f>
        <v>26.690920783539152</v>
      </c>
      <c r="H9" s="9">
        <f>AVERAGE('30lb(ni=1,no=1)_T1 Marke'!E8,'30lb(ni=1,no=1_T2)'!E8,'30lb(ni=1,no=1_T3)'!E8)</f>
        <v>17.136488455347735</v>
      </c>
      <c r="I9" s="10">
        <f>_xlfn.STDEV.P('30lb(ni=1,no=1)_T1 Marke'!E8,'30lb(ni=1,no=1_T2)'!E8,'30lb(ni=1,no=1_T3)'!E8)</f>
        <v>2.8789560142446042</v>
      </c>
      <c r="J9" s="9">
        <f>AVERAGE('30lb(ni=1,no=1)_T1 Marke'!F8,'30lb(ni=1,no=1_T2)'!F8,'30lb(ni=1,no=1_T3)'!F8)</f>
        <v>26.981978363027519</v>
      </c>
      <c r="K9" s="10">
        <f>_xlfn.STDEV.P('30lb(ni=1,no=1)_T1 Marke'!F8,'30lb(ni=1,no=1_T2)'!F8,'30lb(ni=1,no=1_T3)'!F8)</f>
        <v>5.5629214786350474</v>
      </c>
    </row>
    <row r="10" spans="1:11" x14ac:dyDescent="0.25">
      <c r="A10" s="3">
        <f>AVERAGE('30lb(ni=1,no=1)_T1 Marke'!A9,'30lb(ni=1,no=1_T2)'!A9,'30lb(ni=1,no=1_T3)'!A9)</f>
        <v>248.74324088977733</v>
      </c>
      <c r="B10" s="9">
        <f>AVERAGE('30lb(ni=1,no=1)_T1 Marke'!B9,'30lb(ni=1,no=1_T2)'!B9,'30lb(ni=1,no=1_T3)'!B9)</f>
        <v>9.3333333333333338E-2</v>
      </c>
      <c r="C10" s="10">
        <f>_xlfn.STDEV.P('30lb(ni=1,no=1)_T1 Marke'!B9,'30lb(ni=1,no=1_T2)'!B9,'30lb(ni=1,no=1_T3)'!B9)</f>
        <v>2.6246692913372699E-2</v>
      </c>
      <c r="D10" s="9">
        <f>AVERAGE('30lb(ni=1,no=1)_T1 Marke'!C9,'30lb(ni=1,no=1_T2)'!C9,'30lb(ni=1,no=1_T3)'!C9)</f>
        <v>14.254143781259065</v>
      </c>
      <c r="E10" s="10">
        <f>_xlfn.STDEV.P('30lb(ni=1,no=1)_T1 Marke'!C9,'30lb(ni=1,no=1_T2)'!C9,'30lb(ni=1,no=1_T3)'!C9)</f>
        <v>1.4053046992487195</v>
      </c>
      <c r="F10" s="9">
        <f>AVERAGE('30lb(ni=1,no=1)_T1 Marke'!D9,'30lb(ni=1,no=1_T2)'!D9,'30lb(ni=1,no=1_T3)'!D9)</f>
        <v>172.72520321278367</v>
      </c>
      <c r="G10" s="10">
        <f>_xlfn.STDEV.P('30lb(ni=1,no=1)_T1 Marke'!D9,'30lb(ni=1,no=1_T2)'!D9,'30lb(ni=1,no=1_T3)'!D9)</f>
        <v>27.234690441926837</v>
      </c>
      <c r="H10" s="9">
        <f>AVERAGE('30lb(ni=1,no=1)_T1 Marke'!E9,'30lb(ni=1,no=1_T2)'!E9,'30lb(ni=1,no=1_T3)'!E9)</f>
        <v>16.554633721701101</v>
      </c>
      <c r="I10" s="10">
        <f>_xlfn.STDEV.P('30lb(ni=1,no=1)_T1 Marke'!E9,'30lb(ni=1,no=1_T2)'!E9,'30lb(ni=1,no=1_T3)'!E9)</f>
        <v>2.8212149489847023</v>
      </c>
      <c r="J10" s="9">
        <f>AVERAGE('30lb(ni=1,no=1)_T1 Marke'!F9,'30lb(ni=1,no=1_T2)'!F9,'30lb(ni=1,no=1_T3)'!F9)</f>
        <v>24.317383456904896</v>
      </c>
      <c r="K10" s="10">
        <f>_xlfn.STDEV.P('30lb(ni=1,no=1)_T1 Marke'!F9,'30lb(ni=1,no=1_T2)'!F9,'30lb(ni=1,no=1_T3)'!F9)</f>
        <v>4.4551224813152919</v>
      </c>
    </row>
    <row r="11" spans="1:11" x14ac:dyDescent="0.25">
      <c r="A11" s="3">
        <f>AVERAGE('30lb(ni=1,no=1)_T1 Marke'!A10,'30lb(ni=1,no=1_T2)'!A10,'30lb(ni=1,no=1_T3)'!A10)</f>
        <v>238.74324088977733</v>
      </c>
      <c r="B11" s="9">
        <f>AVERAGE('30lb(ni=1,no=1)_T1 Marke'!B10,'30lb(ni=1,no=1_T2)'!B10,'30lb(ni=1,no=1_T3)'!B10)</f>
        <v>0.10333333333333333</v>
      </c>
      <c r="C11" s="10">
        <f>_xlfn.STDEV.P('30lb(ni=1,no=1)_T1 Marke'!B10,'30lb(ni=1,no=1_T2)'!B10,'30lb(ni=1,no=1_T3)'!B10)</f>
        <v>3.399346342395191E-2</v>
      </c>
      <c r="D11" s="9">
        <f>AVERAGE('30lb(ni=1,no=1)_T1 Marke'!C10,'30lb(ni=1,no=1_T2)'!C10,'30lb(ni=1,no=1_T3)'!C10)</f>
        <v>13.575095020212368</v>
      </c>
      <c r="E11" s="10">
        <f>_xlfn.STDEV.P('30lb(ni=1,no=1)_T1 Marke'!C10,'30lb(ni=1,no=1_T2)'!C10,'30lb(ni=1,no=1_T3)'!C10)</f>
        <v>1.6887794441429851</v>
      </c>
      <c r="F11" s="9">
        <f>AVERAGE('30lb(ni=1,no=1)_T1 Marke'!D10,'30lb(ni=1,no=1_T2)'!D10,'30lb(ni=1,no=1_T3)'!D10)</f>
        <v>172.05763950559034</v>
      </c>
      <c r="G11" s="10">
        <f>_xlfn.STDEV.P('30lb(ni=1,no=1)_T1 Marke'!D10,'30lb(ni=1,no=1_T2)'!D10,'30lb(ni=1,no=1_T3)'!D10)</f>
        <v>27.580877297522246</v>
      </c>
      <c r="H11" s="9">
        <f>AVERAGE('30lb(ni=1,no=1)_T1 Marke'!E10,'30lb(ni=1,no=1_T2)'!E10,'30lb(ni=1,no=1_T3)'!E10)</f>
        <v>15.782759781656834</v>
      </c>
      <c r="I11" s="10">
        <f>_xlfn.STDEV.P('30lb(ni=1,no=1)_T1 Marke'!E10,'30lb(ni=1,no=1_T2)'!E10,'30lb(ni=1,no=1_T3)'!E10)</f>
        <v>2.7670016163342184</v>
      </c>
      <c r="J11" s="9">
        <f>AVERAGE('30lb(ni=1,no=1)_T1 Marke'!F10,'30lb(ni=1,no=1_T2)'!F10,'30lb(ni=1,no=1_T3)'!F10)</f>
        <v>22.860622163173076</v>
      </c>
      <c r="K11" s="10">
        <f>_xlfn.STDEV.P('30lb(ni=1,no=1)_T1 Marke'!F10,'30lb(ni=1,no=1_T2)'!F10,'30lb(ni=1,no=1_T3)'!F10)</f>
        <v>3.815949816890909</v>
      </c>
    </row>
    <row r="12" spans="1:11" x14ac:dyDescent="0.25">
      <c r="A12" s="3">
        <f>AVERAGE('30lb(ni=1,no=1)_T1 Marke'!A11,'30lb(ni=1,no=1_T2)'!A11,'30lb(ni=1,no=1_T3)'!A11)</f>
        <v>228.74324088977733</v>
      </c>
      <c r="B12" s="9">
        <f>AVERAGE('30lb(ni=1,no=1)_T1 Marke'!B11,'30lb(ni=1,no=1_T2)'!B11,'30lb(ni=1,no=1_T3)'!B11)</f>
        <v>0.12666666666666668</v>
      </c>
      <c r="C12" s="10">
        <f>_xlfn.STDEV.P('30lb(ni=1,no=1)_T1 Marke'!B11,'30lb(ni=1,no=1_T2)'!B11,'30lb(ni=1,no=1_T3)'!B11)</f>
        <v>4.4969125210773501E-2</v>
      </c>
      <c r="D12" s="9">
        <f>AVERAGE('30lb(ni=1,no=1)_T1 Marke'!C11,'30lb(ni=1,no=1_T2)'!C11,'30lb(ni=1,no=1_T3)'!C11)</f>
        <v>13.045677481298533</v>
      </c>
      <c r="E12" s="10">
        <f>_xlfn.STDEV.P('30lb(ni=1,no=1)_T1 Marke'!C11,'30lb(ni=1,no=1_T2)'!C11,'30lb(ni=1,no=1_T3)'!C11)</f>
        <v>1.7901215069680438</v>
      </c>
      <c r="F12" s="9">
        <f>AVERAGE('30lb(ni=1,no=1)_T1 Marke'!D11,'30lb(ni=1,no=1_T2)'!D11,'30lb(ni=1,no=1_T3)'!D11)</f>
        <v>171.57852980672567</v>
      </c>
      <c r="G12" s="10">
        <f>_xlfn.STDEV.P('30lb(ni=1,no=1)_T1 Marke'!D11,'30lb(ni=1,no=1_T2)'!D11,'30lb(ni=1,no=1_T3)'!D11)</f>
        <v>27.064018592828692</v>
      </c>
      <c r="H12" s="9">
        <f>AVERAGE('30lb(ni=1,no=1)_T1 Marke'!E11,'30lb(ni=1,no=1_T2)'!E11,'30lb(ni=1,no=1_T3)'!E11)</f>
        <v>14.602249216403635</v>
      </c>
      <c r="I12" s="10">
        <f>_xlfn.STDEV.P('30lb(ni=1,no=1)_T1 Marke'!E11,'30lb(ni=1,no=1_T2)'!E11,'30lb(ni=1,no=1_T3)'!E11)</f>
        <v>2.9803415993616089</v>
      </c>
      <c r="J12" s="9">
        <f>AVERAGE('30lb(ni=1,no=1)_T1 Marke'!F11,'30lb(ni=1,no=1_T2)'!F11,'30lb(ni=1,no=1_T3)'!F11)</f>
        <v>18.757087683006176</v>
      </c>
      <c r="K12" s="10">
        <f>_xlfn.STDEV.P('30lb(ni=1,no=1)_T1 Marke'!F11,'30lb(ni=1,no=1_T2)'!F11,'30lb(ni=1,no=1_T3)'!F11)</f>
        <v>5.1954390158807655</v>
      </c>
    </row>
    <row r="13" spans="1:11" x14ac:dyDescent="0.25">
      <c r="A13" s="3">
        <f>AVERAGE('30lb(ni=1,no=1)_T1 Marke'!A12,'30lb(ni=1,no=1_T2)'!A12,'30lb(ni=1,no=1_T3)'!A12)</f>
        <v>218.74324088977733</v>
      </c>
      <c r="B13" s="9">
        <f>AVERAGE('30lb(ni=1,no=1)_T1 Marke'!B12,'30lb(ni=1,no=1_T2)'!B12,'30lb(ni=1,no=1_T3)'!B12)</f>
        <v>0.15333333333333332</v>
      </c>
      <c r="C13" s="10">
        <f>_xlfn.STDEV.P('30lb(ni=1,no=1)_T1 Marke'!B12,'30lb(ni=1,no=1_T2)'!B12,'30lb(ni=1,no=1_T3)'!B12)</f>
        <v>6.1824123303304702E-2</v>
      </c>
      <c r="D13" s="9">
        <f>AVERAGE('30lb(ni=1,no=1)_T1 Marke'!C12,'30lb(ni=1,no=1_T2)'!C12,'30lb(ni=1,no=1_T3)'!C12)</f>
        <v>12.700779539616901</v>
      </c>
      <c r="E13" s="10">
        <f>_xlfn.STDEV.P('30lb(ni=1,no=1)_T1 Marke'!C12,'30lb(ni=1,no=1_T2)'!C12,'30lb(ni=1,no=1_T3)'!C12)</f>
        <v>1.6306322863206399</v>
      </c>
      <c r="F13" s="9">
        <f>AVERAGE('30lb(ni=1,no=1)_T1 Marke'!D12,'30lb(ni=1,no=1_T2)'!D12,'30lb(ni=1,no=1_T3)'!D12)</f>
        <v>170.12259455575898</v>
      </c>
      <c r="G13" s="10">
        <f>_xlfn.STDEV.P('30lb(ni=1,no=1)_T1 Marke'!D12,'30lb(ni=1,no=1_T2)'!D12,'30lb(ni=1,no=1_T3)'!D12)</f>
        <v>27.46960875937776</v>
      </c>
      <c r="H13" s="9">
        <f>AVERAGE('30lb(ni=1,no=1)_T1 Marke'!E12,'30lb(ni=1,no=1_T2)'!E12,'30lb(ni=1,no=1_T3)'!E12)</f>
        <v>13.653222756825366</v>
      </c>
      <c r="I13" s="10">
        <f>_xlfn.STDEV.P('30lb(ni=1,no=1)_T1 Marke'!E12,'30lb(ni=1,no=1_T2)'!E12,'30lb(ni=1,no=1_T3)'!E12)</f>
        <v>3.3266173505864587</v>
      </c>
      <c r="J13" s="9">
        <f>AVERAGE('30lb(ni=1,no=1)_T1 Marke'!F12,'30lb(ni=1,no=1_T2)'!F12,'30lb(ni=1,no=1_T3)'!F12)</f>
        <v>16.195693053011656</v>
      </c>
      <c r="K13" s="10">
        <f>_xlfn.STDEV.P('30lb(ni=1,no=1)_T1 Marke'!F12,'30lb(ni=1,no=1_T2)'!F12,'30lb(ni=1,no=1_T3)'!F12)</f>
        <v>6.3692725850462715</v>
      </c>
    </row>
    <row r="14" spans="1:11" x14ac:dyDescent="0.25">
      <c r="A14" s="3">
        <f>AVERAGE('30lb(ni=1,no=1)_T1 Marke'!A13,'30lb(ni=1,no=1_T2)'!A13,'30lb(ni=1,no=1_T3)'!A13)</f>
        <v>208.74324088977733</v>
      </c>
      <c r="B14" s="9">
        <f>AVERAGE('30lb(ni=1,no=1)_T1 Marke'!B13,'30lb(ni=1,no=1_T2)'!B13,'30lb(ni=1,no=1_T3)'!B13)</f>
        <v>0.18999999999999997</v>
      </c>
      <c r="C14" s="10">
        <f>_xlfn.STDEV.P('30lb(ni=1,no=1)_T1 Marke'!B13,'30lb(ni=1,no=1_T2)'!B13,'30lb(ni=1,no=1_T3)'!B13)</f>
        <v>8.6409875978771492E-2</v>
      </c>
      <c r="D14" s="9">
        <f>AVERAGE('30lb(ni=1,no=1)_T1 Marke'!C13,'30lb(ni=1,no=1_T2)'!C13,'30lb(ni=1,no=1_T3)'!C13)</f>
        <v>12.406911460549631</v>
      </c>
      <c r="E14" s="10">
        <f>_xlfn.STDEV.P('30lb(ni=1,no=1)_T1 Marke'!C13,'30lb(ni=1,no=1_T2)'!C13,'30lb(ni=1,no=1_T3)'!C13)</f>
        <v>1.6450121110569051</v>
      </c>
      <c r="F14" s="9">
        <f>AVERAGE('30lb(ni=1,no=1)_T1 Marke'!D13,'30lb(ni=1,no=1_T2)'!D13,'30lb(ni=1,no=1_T3)'!D13)</f>
        <v>168.2050727264527</v>
      </c>
      <c r="G14" s="10">
        <f>_xlfn.STDEV.P('30lb(ni=1,no=1)_T1 Marke'!D13,'30lb(ni=1,no=1_T2)'!D13,'30lb(ni=1,no=1_T3)'!D13)</f>
        <v>27.648849896965249</v>
      </c>
      <c r="H14" s="9">
        <f>AVERAGE('30lb(ni=1,no=1)_T1 Marke'!E13,'30lb(ni=1,no=1_T2)'!E13,'30lb(ni=1,no=1_T3)'!E13)</f>
        <v>12.582955247127728</v>
      </c>
      <c r="I14" s="10">
        <f>_xlfn.STDEV.P('30lb(ni=1,no=1)_T1 Marke'!E13,'30lb(ni=1,no=1_T2)'!E13,'30lb(ni=1,no=1_T3)'!E13)</f>
        <v>3.6811102888632892</v>
      </c>
      <c r="J14" s="9">
        <f>AVERAGE('30lb(ni=1,no=1)_T1 Marke'!F13,'30lb(ni=1,no=1_T2)'!F13,'30lb(ni=1,no=1_T3)'!F13)</f>
        <v>13.188225539690913</v>
      </c>
      <c r="K14" s="10">
        <f>_xlfn.STDEV.P('30lb(ni=1,no=1)_T1 Marke'!F13,'30lb(ni=1,no=1_T2)'!F13,'30lb(ni=1,no=1_T3)'!F13)</f>
        <v>6.1441519238535598</v>
      </c>
    </row>
    <row r="15" spans="1:11" x14ac:dyDescent="0.25">
      <c r="A15" s="3">
        <f>AVERAGE('30lb(ni=1,no=1)_T1 Marke'!A14,'30lb(ni=1,no=1_T2)'!A14,'30lb(ni=1,no=1_T3)'!A14)</f>
        <v>198.74324088977733</v>
      </c>
      <c r="B15" s="9">
        <f>AVERAGE('30lb(ni=1,no=1)_T1 Marke'!B14,'30lb(ni=1,no=1_T2)'!B14,'30lb(ni=1,no=1_T3)'!B14)</f>
        <v>0.2233333333333333</v>
      </c>
      <c r="C15" s="10">
        <f>_xlfn.STDEV.P('30lb(ni=1,no=1)_T1 Marke'!B14,'30lb(ni=1,no=1_T2)'!B14,'30lb(ni=1,no=1_T3)'!B14)</f>
        <v>9.8770215933527056E-2</v>
      </c>
      <c r="D15" s="9">
        <f>AVERAGE('30lb(ni=1,no=1)_T1 Marke'!C14,'30lb(ni=1,no=1_T2)'!C14,'30lb(ni=1,no=1_T3)'!C14)</f>
        <v>11.90604073583283</v>
      </c>
      <c r="E15" s="10">
        <f>_xlfn.STDEV.P('30lb(ni=1,no=1)_T1 Marke'!C14,'30lb(ni=1,no=1_T2)'!C14,'30lb(ni=1,no=1_T3)'!C14)</f>
        <v>1.9365014741536872</v>
      </c>
      <c r="F15" s="9">
        <f>AVERAGE('30lb(ni=1,no=1)_T1 Marke'!D14,'30lb(ni=1,no=1_T2)'!D14,'30lb(ni=1,no=1_T3)'!D14)</f>
        <v>164.24853714547368</v>
      </c>
      <c r="G15" s="10">
        <f>_xlfn.STDEV.P('30lb(ni=1,no=1)_T1 Marke'!D14,'30lb(ni=1,no=1_T2)'!D14,'30lb(ni=1,no=1_T3)'!D14)</f>
        <v>28.696806110206921</v>
      </c>
      <c r="H15" s="9">
        <f>AVERAGE('30lb(ni=1,no=1)_T1 Marke'!E14,'30lb(ni=1,no=1_T2)'!E14,'30lb(ni=1,no=1_T3)'!E14)</f>
        <v>11.269378370659192</v>
      </c>
      <c r="I15" s="10">
        <f>_xlfn.STDEV.P('30lb(ni=1,no=1)_T1 Marke'!E14,'30lb(ni=1,no=1_T2)'!E14,'30lb(ni=1,no=1_T3)'!E14)</f>
        <v>2.653519782908746</v>
      </c>
      <c r="J15" s="9">
        <f>AVERAGE('30lb(ni=1,no=1)_T1 Marke'!F14,'30lb(ni=1,no=1_T2)'!F14,'30lb(ni=1,no=1_T3)'!F14)</f>
        <v>11.077555331615818</v>
      </c>
      <c r="K15" s="10">
        <f>_xlfn.STDEV.P('30lb(ni=1,no=1)_T1 Marke'!F14,'30lb(ni=1,no=1_T2)'!F14,'30lb(ni=1,no=1_T3)'!F14)</f>
        <v>4.9285666003731494</v>
      </c>
    </row>
    <row r="16" spans="1:11" x14ac:dyDescent="0.25">
      <c r="A16" s="3">
        <f>AVERAGE('30lb(ni=1,no=1)_T1 Marke'!A15,'30lb(ni=1,no=1_T2)'!A15,'30lb(ni=1,no=1_T3)'!A15)</f>
        <v>188.74324088977733</v>
      </c>
      <c r="B16" s="9">
        <f>AVERAGE('30lb(ni=1,no=1)_T1 Marke'!B15,'30lb(ni=1,no=1_T2)'!B15,'30lb(ni=1,no=1_T3)'!B15)</f>
        <v>0.24333333333333332</v>
      </c>
      <c r="C16" s="10">
        <f>_xlfn.STDEV.P('30lb(ni=1,no=1)_T1 Marke'!B15,'30lb(ni=1,no=1_T2)'!B15,'30lb(ni=1,no=1_T3)'!B15)</f>
        <v>9.2855921847894124E-2</v>
      </c>
      <c r="D16" s="9">
        <f>AVERAGE('30lb(ni=1,no=1)_T1 Marke'!C15,'30lb(ni=1,no=1_T2)'!C15,'30lb(ni=1,no=1_T3)'!C15)</f>
        <v>11.530016278992663</v>
      </c>
      <c r="E16" s="10">
        <f>_xlfn.STDEV.P('30lb(ni=1,no=1)_T1 Marke'!C15,'30lb(ni=1,no=1_T2)'!C15,'30lb(ni=1,no=1_T3)'!C15)</f>
        <v>2.0846102424009127</v>
      </c>
      <c r="F16" s="9">
        <f>AVERAGE('30lb(ni=1,no=1)_T1 Marke'!D15,'30lb(ni=1,no=1_T2)'!D15,'30lb(ni=1,no=1_T3)'!D15)</f>
        <v>160.40757045429299</v>
      </c>
      <c r="G16" s="10">
        <f>_xlfn.STDEV.P('30lb(ni=1,no=1)_T1 Marke'!D15,'30lb(ni=1,no=1_T2)'!D15,'30lb(ni=1,no=1_T3)'!D15)</f>
        <v>30.575443661190114</v>
      </c>
      <c r="H16" s="9">
        <f>AVERAGE('30lb(ni=1,no=1)_T1 Marke'!E15,'30lb(ni=1,no=1_T2)'!E15,'30lb(ni=1,no=1_T3)'!E15)</f>
        <v>10.970932179022261</v>
      </c>
      <c r="I16" s="10">
        <f>_xlfn.STDEV.P('30lb(ni=1,no=1)_T1 Marke'!E15,'30lb(ni=1,no=1_T2)'!E15,'30lb(ni=1,no=1_T3)'!E15)</f>
        <v>2.7327509821442697</v>
      </c>
      <c r="J16" s="9">
        <f>AVERAGE('30lb(ni=1,no=1)_T1 Marke'!F15,'30lb(ni=1,no=1_T2)'!F15,'30lb(ni=1,no=1_T3)'!F15)</f>
        <v>9.804784967746512</v>
      </c>
      <c r="K16" s="10">
        <f>_xlfn.STDEV.P('30lb(ni=1,no=1)_T1 Marke'!F15,'30lb(ni=1,no=1_T2)'!F15,'30lb(ni=1,no=1_T3)'!F15)</f>
        <v>5.3071097153670372</v>
      </c>
    </row>
    <row r="17" spans="1:11" x14ac:dyDescent="0.25">
      <c r="A17" s="3">
        <f>AVERAGE('30lb(ni=1,no=1)_T1 Marke'!A16,'30lb(ni=1,no=1_T2)'!A16,'30lb(ni=1,no=1_T3)'!A16)</f>
        <v>211.90245823389051</v>
      </c>
      <c r="B17" s="9">
        <f>AVERAGE('30lb(ni=1,no=1)_T1 Marke'!B16,'30lb(ni=1,no=1_T2)'!B16,'30lb(ni=1,no=1_T3)'!B16)</f>
        <v>0.22500000000000001</v>
      </c>
      <c r="C17" s="10">
        <f>_xlfn.STDEV.P('30lb(ni=1,no=1)_T1 Marke'!B16,'30lb(ni=1,no=1_T2)'!B16,'30lb(ni=1,no=1_T3)'!B16)</f>
        <v>4.4999999999999991E-2</v>
      </c>
      <c r="D17" s="9">
        <f>AVERAGE('30lb(ni=1,no=1)_T1 Marke'!C16,'30lb(ni=1,no=1_T2)'!C16,'30lb(ni=1,no=1_T3)'!C16)</f>
        <v>12.661480708035</v>
      </c>
      <c r="E17" s="10">
        <f>_xlfn.STDEV.P('30lb(ni=1,no=1)_T1 Marke'!C16,'30lb(ni=1,no=1_T2)'!C16,'30lb(ni=1,no=1_T3)'!C16)</f>
        <v>0.56768595863170024</v>
      </c>
      <c r="F17" s="9">
        <f>AVERAGE('30lb(ni=1,no=1)_T1 Marke'!D16,'30lb(ni=1,no=1_T2)'!D16,'30lb(ni=1,no=1_T3)'!D16)</f>
        <v>178.37921017303103</v>
      </c>
      <c r="G17" s="10">
        <f>_xlfn.STDEV.P('30lb(ni=1,no=1)_T1 Marke'!D16,'30lb(ni=1,no=1_T2)'!D16,'30lb(ni=1,no=1_T3)'!D16)</f>
        <v>17.280164826968999</v>
      </c>
      <c r="H17" s="9">
        <f>AVERAGE('30lb(ni=1,no=1)_T1 Marke'!E16,'30lb(ni=1,no=1_T2)'!E16,'30lb(ni=1,no=1_T3)'!E16)</f>
        <v>11.814214150755799</v>
      </c>
      <c r="I17" s="10">
        <f>_xlfn.STDEV.P('30lb(ni=1,no=1)_T1 Marke'!E16,'30lb(ni=1,no=1_T2)'!E16,'30lb(ni=1,no=1_T3)'!E16)</f>
        <v>1.8118275159109087</v>
      </c>
      <c r="J17" s="9">
        <f>AVERAGE('30lb(ni=1,no=1)_T1 Marke'!F16,'30lb(ni=1,no=1_T2)'!F16,'30lb(ni=1,no=1_T3)'!F16)</f>
        <v>11.833789528639613</v>
      </c>
      <c r="K17" s="10">
        <f>_xlfn.STDEV.P('30lb(ni=1,no=1)_T1 Marke'!F16,'30lb(ni=1,no=1_T2)'!F16,'30lb(ni=1,no=1_T3)'!F16)</f>
        <v>4.4380854713603854</v>
      </c>
    </row>
    <row r="18" spans="1:11" x14ac:dyDescent="0.25">
      <c r="A18" s="3">
        <f>AVERAGE('30lb(ni=1,no=1)_T1 Marke'!A17,'30lb(ni=1,no=1_T2)'!A17,'30lb(ni=1,no=1_T3)'!A17)</f>
        <v>201.90245823389051</v>
      </c>
      <c r="B18" s="9">
        <f>AVERAGE('30lb(ni=1,no=1)_T1 Marke'!B17,'30lb(ni=1,no=1_T2)'!B17,'30lb(ni=1,no=1_T3)'!B17)</f>
        <v>0.28000000000000003</v>
      </c>
      <c r="C18" s="10">
        <f>_xlfn.STDEV.P('30lb(ni=1,no=1)_T1 Marke'!B17,'30lb(ni=1,no=1_T2)'!B17,'30lb(ni=1,no=1_T3)'!B17)</f>
        <v>4.9999999999999885E-2</v>
      </c>
      <c r="D18" s="9">
        <f>AVERAGE('30lb(ni=1,no=1)_T1 Marke'!C17,'30lb(ni=1,no=1_T2)'!C17,'30lb(ni=1,no=1_T3)'!C17)</f>
        <v>11.7879294699682</v>
      </c>
      <c r="E18" s="10">
        <f>_xlfn.STDEV.P('30lb(ni=1,no=1)_T1 Marke'!C17,'30lb(ni=1,no=1_T2)'!C17,'30lb(ni=1,no=1_T3)'!C17)</f>
        <v>0.8459246966984999</v>
      </c>
      <c r="F18" s="9">
        <f>AVERAGE('30lb(ni=1,no=1)_T1 Marke'!D17,'30lb(ni=1,no=1_T2)'!D17,'30lb(ni=1,no=1_T3)'!D17)</f>
        <v>176.471005494232</v>
      </c>
      <c r="G18" s="10">
        <f>_xlfn.STDEV.P('30lb(ni=1,no=1)_T1 Marke'!D17,'30lb(ni=1,no=1_T2)'!D17,'30lb(ni=1,no=1_T3)'!D17)</f>
        <v>18.857640339100975</v>
      </c>
      <c r="H18" s="9">
        <f>AVERAGE('30lb(ni=1,no=1)_T1 Marke'!E17,'30lb(ni=1,no=1_T2)'!E17,'30lb(ni=1,no=1_T3)'!E17)</f>
        <v>10.59477861475734</v>
      </c>
      <c r="I18" s="10">
        <f>_xlfn.STDEV.P('30lb(ni=1,no=1)_T1 Marke'!E17,'30lb(ni=1,no=1_T2)'!E17,'30lb(ni=1,no=1_T3)'!E17)</f>
        <v>1.7744922185759571</v>
      </c>
      <c r="J18" s="9">
        <f>AVERAGE('30lb(ni=1,no=1)_T1 Marke'!F17,'30lb(ni=1,no=1_T2)'!F17,'30lb(ni=1,no=1_T3)'!F17)</f>
        <v>12.354510366945103</v>
      </c>
      <c r="K18" s="10">
        <f>_xlfn.STDEV.P('30lb(ni=1,no=1)_T1 Marke'!F17,'30lb(ni=1,no=1_T2)'!F17,'30lb(ni=1,no=1_T3)'!F17)</f>
        <v>3.3220521330548931</v>
      </c>
    </row>
    <row r="19" spans="1:11" ht="15.75" thickBot="1" x14ac:dyDescent="0.3">
      <c r="A19" s="4">
        <f>AVERAGE('30lb(ni=1,no=1)_T1 Marke'!A18,'30lb(ni=1,no=1_T2)'!A18,'30lb(ni=1,no=1_T3)'!A18)</f>
        <v>191.90245823389051</v>
      </c>
      <c r="B19" s="11">
        <f>AVERAGE('30lb(ni=1,no=1)_T1 Marke'!B18,'30lb(ni=1,no=1_T2)'!B18,'30lb(ni=1,no=1_T3)'!B18)</f>
        <v>0.33499999999999996</v>
      </c>
      <c r="C19" s="12">
        <f>_xlfn.STDEV.P('30lb(ni=1,no=1)_T1 Marke'!B18,'30lb(ni=1,no=1_T2)'!B18,'30lb(ni=1,no=1_T3)'!B18)</f>
        <v>4.5000000000000144E-2</v>
      </c>
      <c r="D19" s="11">
        <f>AVERAGE('30lb(ni=1,no=1)_T1 Marke'!C18,'30lb(ni=1,no=1_T2)'!C18,'30lb(ni=1,no=1_T3)'!C18)</f>
        <v>10.969473448687349</v>
      </c>
      <c r="E19" s="12">
        <f>_xlfn.STDEV.P('30lb(ni=1,no=1)_T1 Marke'!C18,'30lb(ni=1,no=1_T2)'!C18,'30lb(ni=1,no=1_T3)'!C18)</f>
        <v>0.93677655131264981</v>
      </c>
      <c r="F19" s="11">
        <f>AVERAGE('30lb(ni=1,no=1)_T1 Marke'!D18,'30lb(ni=1,no=1_T2)'!D18,'30lb(ni=1,no=1_T3)'!D18)</f>
        <v>173.711350810461</v>
      </c>
      <c r="G19" s="12">
        <f>_xlfn.STDEV.P('30lb(ni=1,no=1)_T1 Marke'!D18,'30lb(ni=1,no=1_T2)'!D18,'30lb(ni=1,no=1_T3)'!D18)</f>
        <v>21.220420022871942</v>
      </c>
      <c r="H19" s="11">
        <f>AVERAGE('30lb(ni=1,no=1)_T1 Marke'!E18,'30lb(ni=1,no=1_T2)'!E18,'30lb(ni=1,no=1_T3)'!E18)</f>
        <v>9.0446928450676012</v>
      </c>
      <c r="I19" s="12">
        <f>_xlfn.STDEV.P('30lb(ni=1,no=1)_T1 Marke'!E18,'30lb(ni=1,no=1_T2)'!E18,'30lb(ni=1,no=1_T3)'!E18)</f>
        <v>2.1339529882656958</v>
      </c>
      <c r="J19" s="11">
        <f>AVERAGE('30lb(ni=1,no=1)_T1 Marke'!F18,'30lb(ni=1,no=1_T2)'!F18,'30lb(ni=1,no=1_T3)'!F18)</f>
        <v>7.9025326919252166</v>
      </c>
      <c r="K19" s="12">
        <f>_xlfn.STDEV.P('30lb(ni=1,no=1)_T1 Marke'!F18,'30lb(ni=1,no=1_T2)'!F18,'30lb(ni=1,no=1_T3)'!F18)</f>
        <v>3.1438214747414479</v>
      </c>
    </row>
  </sheetData>
  <mergeCells count="5"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73554-58AF-44F5-9DDD-5E7AA5F91285}">
  <dimension ref="A1:F22"/>
  <sheetViews>
    <sheetView workbookViewId="0">
      <selection sqref="A1:F1"/>
    </sheetView>
  </sheetViews>
  <sheetFormatPr defaultRowHeight="15" x14ac:dyDescent="0.25"/>
  <sheetData>
    <row r="1" spans="1:6" x14ac:dyDescent="0.2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v>380.94</v>
      </c>
      <c r="B2">
        <v>0</v>
      </c>
      <c r="C2">
        <v>20.042187500000001</v>
      </c>
      <c r="D2">
        <v>199.16510416666699</v>
      </c>
      <c r="E2">
        <v>27.516666666666701</v>
      </c>
      <c r="F2">
        <v>60.85416666666665</v>
      </c>
    </row>
    <row r="3" spans="1:6" x14ac:dyDescent="0.25">
      <c r="A3">
        <v>370.94</v>
      </c>
      <c r="B3">
        <v>0.03</v>
      </c>
      <c r="C3">
        <v>19.248437500000001</v>
      </c>
      <c r="D3">
        <v>199.69427083333301</v>
      </c>
      <c r="E3">
        <v>26.193750000000001</v>
      </c>
      <c r="F3">
        <v>53.842708333333327</v>
      </c>
    </row>
    <row r="4" spans="1:6" x14ac:dyDescent="0.25">
      <c r="A4">
        <v>360.94</v>
      </c>
      <c r="B4">
        <v>0.03</v>
      </c>
      <c r="C4">
        <v>18.388541666666701</v>
      </c>
      <c r="D4">
        <v>200.62031250000001</v>
      </c>
      <c r="E4">
        <v>24.077083333333299</v>
      </c>
      <c r="F4">
        <v>44.648437499999993</v>
      </c>
    </row>
    <row r="5" spans="1:6" x14ac:dyDescent="0.25">
      <c r="A5">
        <v>350.94</v>
      </c>
      <c r="B5">
        <v>0.04</v>
      </c>
      <c r="C5">
        <v>17.396354166666701</v>
      </c>
      <c r="D5">
        <v>201.87708333333299</v>
      </c>
      <c r="E5">
        <v>22.1588541666667</v>
      </c>
      <c r="F5">
        <v>35.85104166666666</v>
      </c>
    </row>
    <row r="6" spans="1:6" x14ac:dyDescent="0.25">
      <c r="A6">
        <v>340.94</v>
      </c>
      <c r="B6">
        <v>0.03</v>
      </c>
      <c r="C6">
        <v>16.801041666666698</v>
      </c>
      <c r="D6">
        <v>201.67864583333301</v>
      </c>
      <c r="E6">
        <v>21.431249999999999</v>
      </c>
      <c r="F6">
        <v>33.86666666666666</v>
      </c>
    </row>
    <row r="7" spans="1:6" x14ac:dyDescent="0.25">
      <c r="A7">
        <v>330.94</v>
      </c>
      <c r="B7">
        <v>0.05</v>
      </c>
      <c r="C7">
        <v>16.338020833333299</v>
      </c>
      <c r="D7">
        <v>202.67083333333301</v>
      </c>
      <c r="E7">
        <v>21.1666666666667</v>
      </c>
      <c r="F7">
        <v>28.83958333333333</v>
      </c>
    </row>
    <row r="8" spans="1:6" x14ac:dyDescent="0.25">
      <c r="A8">
        <v>320.94</v>
      </c>
      <c r="B8">
        <v>0.06</v>
      </c>
      <c r="C8">
        <v>16.139583333333299</v>
      </c>
      <c r="D8">
        <v>202.40625</v>
      </c>
      <c r="E8">
        <v>20.637499999999999</v>
      </c>
      <c r="F8">
        <v>32.279166666666661</v>
      </c>
    </row>
    <row r="9" spans="1:6" x14ac:dyDescent="0.25">
      <c r="A9">
        <v>310.94</v>
      </c>
      <c r="B9">
        <v>7.0000000000000007E-2</v>
      </c>
      <c r="C9">
        <v>15.8088541666667</v>
      </c>
      <c r="D9">
        <v>202.075520833333</v>
      </c>
      <c r="E9">
        <v>20.240625000000001</v>
      </c>
      <c r="F9">
        <v>28.376562499999995</v>
      </c>
    </row>
    <row r="10" spans="1:6" x14ac:dyDescent="0.25">
      <c r="A10">
        <v>300.94</v>
      </c>
      <c r="B10">
        <v>7.0000000000000007E-2</v>
      </c>
      <c r="C10">
        <v>15.5442708333333</v>
      </c>
      <c r="D10">
        <v>202.40625</v>
      </c>
      <c r="E10">
        <v>19.1822916666667</v>
      </c>
      <c r="F10">
        <v>26.855208333333326</v>
      </c>
    </row>
    <row r="11" spans="1:6" x14ac:dyDescent="0.25">
      <c r="A11">
        <v>290.94</v>
      </c>
      <c r="B11">
        <v>0.09</v>
      </c>
      <c r="C11">
        <v>15.2135416666667</v>
      </c>
      <c r="D11">
        <v>201.347916666667</v>
      </c>
      <c r="E11">
        <v>18.322395833333299</v>
      </c>
      <c r="F11">
        <v>25.86302083333333</v>
      </c>
    </row>
    <row r="12" spans="1:6" x14ac:dyDescent="0.25">
      <c r="A12">
        <v>280.94</v>
      </c>
      <c r="B12">
        <v>0.1</v>
      </c>
      <c r="C12">
        <v>14.618229166666699</v>
      </c>
      <c r="D12">
        <v>200.02500000000001</v>
      </c>
      <c r="E12">
        <v>17.793229166666698</v>
      </c>
      <c r="F12">
        <v>24.738541666666663</v>
      </c>
    </row>
    <row r="13" spans="1:6" x14ac:dyDescent="0.25">
      <c r="A13">
        <v>270.94</v>
      </c>
      <c r="B13">
        <v>0.11</v>
      </c>
      <c r="C13">
        <v>14.2213541666667</v>
      </c>
      <c r="D13">
        <v>198.63593750000001</v>
      </c>
      <c r="E13">
        <v>17.264062500000001</v>
      </c>
      <c r="F13">
        <v>21.761979166666663</v>
      </c>
    </row>
    <row r="14" spans="1:6" x14ac:dyDescent="0.25">
      <c r="A14">
        <v>260.94</v>
      </c>
      <c r="B14">
        <v>0.13</v>
      </c>
      <c r="C14">
        <v>13.8244791666667</v>
      </c>
      <c r="D14">
        <v>197.114583333333</v>
      </c>
      <c r="E14">
        <v>14.353645833333299</v>
      </c>
      <c r="F14">
        <v>17.793229166666663</v>
      </c>
    </row>
    <row r="15" spans="1:6" x14ac:dyDescent="0.25">
      <c r="A15">
        <v>250.94</v>
      </c>
      <c r="B15">
        <v>0.15</v>
      </c>
      <c r="C15">
        <v>13.5598958333333</v>
      </c>
      <c r="D15">
        <v>195.92395833333299</v>
      </c>
      <c r="E15">
        <v>14.155208333333301</v>
      </c>
      <c r="F15">
        <v>17.065624999999997</v>
      </c>
    </row>
    <row r="16" spans="1:6" x14ac:dyDescent="0.25">
      <c r="A16">
        <v>240.94</v>
      </c>
      <c r="B16">
        <v>0.18</v>
      </c>
      <c r="C16">
        <v>13.2291666666667</v>
      </c>
      <c r="D16">
        <v>195.65937500000001</v>
      </c>
      <c r="E16">
        <v>13.626041666666699</v>
      </c>
      <c r="F16">
        <v>16.271874999999998</v>
      </c>
    </row>
    <row r="17" spans="1:6" x14ac:dyDescent="0.25">
      <c r="A17">
        <v>230.94</v>
      </c>
      <c r="B17">
        <v>0.23</v>
      </c>
      <c r="C17">
        <v>12.633854166666699</v>
      </c>
      <c r="D17">
        <v>195.32864583333301</v>
      </c>
      <c r="E17">
        <v>12.369270833333299</v>
      </c>
      <c r="F17">
        <v>15.676562499999998</v>
      </c>
    </row>
    <row r="18" spans="1:6" x14ac:dyDescent="0.25">
      <c r="A18">
        <v>220.94</v>
      </c>
      <c r="B18">
        <v>0.28999999999999998</v>
      </c>
      <c r="C18">
        <v>11.90625</v>
      </c>
      <c r="D18">
        <v>194.93177083333299</v>
      </c>
      <c r="E18">
        <v>11.178645833333301</v>
      </c>
      <c r="F18">
        <v>11.046354166666664</v>
      </c>
    </row>
    <row r="19" spans="1:6" x14ac:dyDescent="0.25">
      <c r="A19">
        <v>210.94</v>
      </c>
      <c r="B19">
        <v>0.41</v>
      </c>
      <c r="C19">
        <v>9.921875</v>
      </c>
      <c r="D19">
        <v>194.799479166667</v>
      </c>
      <c r="E19">
        <v>10.31875</v>
      </c>
    </row>
    <row r="20" spans="1:6" x14ac:dyDescent="0.25">
      <c r="A20">
        <v>200.94</v>
      </c>
      <c r="B20">
        <v>0.57999999999999996</v>
      </c>
      <c r="C20">
        <v>8.8966145833333297</v>
      </c>
      <c r="D20">
        <v>189.97083333333299</v>
      </c>
      <c r="E20">
        <v>9.2383680555555792</v>
      </c>
    </row>
    <row r="21" spans="1:6" x14ac:dyDescent="0.25">
      <c r="A21">
        <v>190.94</v>
      </c>
      <c r="B21">
        <v>0.68</v>
      </c>
      <c r="C21">
        <v>7.6133854166666701</v>
      </c>
      <c r="D21">
        <v>188.97864583333299</v>
      </c>
      <c r="E21">
        <v>8.2131076388889106</v>
      </c>
    </row>
    <row r="22" spans="1:6" x14ac:dyDescent="0.25">
      <c r="A22">
        <v>180.94</v>
      </c>
      <c r="B22">
        <v>0.86</v>
      </c>
      <c r="C22">
        <v>6.3301562499999999</v>
      </c>
      <c r="D22">
        <v>180.37968749999999</v>
      </c>
      <c r="E22">
        <v>7.1878472222222403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4EE42-CB3E-40EF-9BAB-D399A7D7C3FD}">
  <dimension ref="A1:F15"/>
  <sheetViews>
    <sheetView workbookViewId="0">
      <selection activeCell="J30" sqref="J30"/>
    </sheetView>
  </sheetViews>
  <sheetFormatPr defaultRowHeight="15" x14ac:dyDescent="0.25"/>
  <sheetData>
    <row r="1" spans="1:6" x14ac:dyDescent="0.2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v>252.42480620155101</v>
      </c>
      <c r="B2">
        <v>0</v>
      </c>
      <c r="C2">
        <v>17.720930232558199</v>
      </c>
      <c r="D2">
        <v>134.28527131783</v>
      </c>
      <c r="E2">
        <v>19.099224806201601</v>
      </c>
      <c r="F2">
        <v>78.956589147287005</v>
      </c>
    </row>
    <row r="3" spans="1:6" x14ac:dyDescent="0.25">
      <c r="A3">
        <v>242.42480620155101</v>
      </c>
      <c r="B3">
        <v>0.03</v>
      </c>
      <c r="C3">
        <v>16.539534883721</v>
      </c>
      <c r="D3">
        <v>134.482170542636</v>
      </c>
      <c r="E3">
        <v>17.524031007752001</v>
      </c>
      <c r="F3">
        <v>60.644961240310202</v>
      </c>
    </row>
    <row r="4" spans="1:6" x14ac:dyDescent="0.25">
      <c r="A4">
        <v>232.42480620155101</v>
      </c>
      <c r="B4">
        <v>0.05</v>
      </c>
      <c r="C4">
        <v>15.9488372093024</v>
      </c>
      <c r="D4">
        <v>135.66356589147301</v>
      </c>
      <c r="E4">
        <v>16.342635658914801</v>
      </c>
      <c r="F4">
        <v>50.800000000000097</v>
      </c>
    </row>
    <row r="5" spans="1:6" x14ac:dyDescent="0.25">
      <c r="A5">
        <v>222.42480620155101</v>
      </c>
      <c r="B5">
        <v>0.06</v>
      </c>
      <c r="C5">
        <v>15.1612403100776</v>
      </c>
      <c r="D5">
        <v>137.041860465117</v>
      </c>
      <c r="E5">
        <v>16.145736434108599</v>
      </c>
      <c r="F5">
        <v>36.229457364341201</v>
      </c>
    </row>
    <row r="6" spans="1:6" x14ac:dyDescent="0.25">
      <c r="A6">
        <v>212.42480620155101</v>
      </c>
      <c r="B6">
        <v>0.06</v>
      </c>
      <c r="C6">
        <v>14.373643410852701</v>
      </c>
      <c r="D6">
        <v>136.648062015504</v>
      </c>
      <c r="E6">
        <v>15.9488372093024</v>
      </c>
      <c r="F6">
        <v>25.5968992248063</v>
      </c>
    </row>
    <row r="7" spans="1:6" x14ac:dyDescent="0.25">
      <c r="A7">
        <v>202.42480620155101</v>
      </c>
      <c r="B7">
        <v>7.0000000000000007E-2</v>
      </c>
      <c r="C7">
        <v>13.3891472868217</v>
      </c>
      <c r="D7">
        <v>138.22325581395401</v>
      </c>
      <c r="E7">
        <v>15.358139534883801</v>
      </c>
      <c r="F7">
        <v>22.446511627907</v>
      </c>
    </row>
    <row r="8" spans="1:6" x14ac:dyDescent="0.25">
      <c r="A8">
        <v>192.42480620155101</v>
      </c>
      <c r="B8">
        <v>0.1</v>
      </c>
      <c r="C8">
        <v>12.7984496124031</v>
      </c>
      <c r="D8">
        <v>138.61705426356599</v>
      </c>
      <c r="E8">
        <v>13.586046511627901</v>
      </c>
      <c r="F8">
        <v>19.2961240310078</v>
      </c>
    </row>
    <row r="9" spans="1:6" x14ac:dyDescent="0.25">
      <c r="A9">
        <v>182.42480620155101</v>
      </c>
      <c r="B9">
        <v>0.13</v>
      </c>
      <c r="C9">
        <v>12.404651162790699</v>
      </c>
      <c r="D9">
        <v>136.45116279069799</v>
      </c>
      <c r="E9">
        <v>13.3891472868217</v>
      </c>
      <c r="F9">
        <v>18.1147286821706</v>
      </c>
    </row>
    <row r="10" spans="1:6" x14ac:dyDescent="0.25">
      <c r="A10">
        <v>172.42480620155101</v>
      </c>
      <c r="B10">
        <v>0.15</v>
      </c>
      <c r="C10">
        <v>11.420155038759701</v>
      </c>
      <c r="D10">
        <v>135.66356589147301</v>
      </c>
      <c r="E10">
        <v>12.404651162790699</v>
      </c>
      <c r="F10">
        <v>17.720930232558199</v>
      </c>
    </row>
    <row r="11" spans="1:6" x14ac:dyDescent="0.25">
      <c r="A11">
        <v>162.42480620155101</v>
      </c>
      <c r="B11">
        <v>0.19</v>
      </c>
      <c r="C11">
        <v>10.829457364341099</v>
      </c>
      <c r="D11">
        <v>135.86046511627899</v>
      </c>
      <c r="E11">
        <v>11.0263565891473</v>
      </c>
      <c r="F11">
        <v>13.586046511627901</v>
      </c>
    </row>
    <row r="12" spans="1:6" x14ac:dyDescent="0.25">
      <c r="A12">
        <v>152.42480620155101</v>
      </c>
      <c r="B12">
        <v>0.24</v>
      </c>
      <c r="C12">
        <v>10.6325581395349</v>
      </c>
      <c r="D12">
        <v>133.69457364341099</v>
      </c>
      <c r="E12">
        <v>9.6480620155038999</v>
      </c>
      <c r="F12">
        <v>9.4511627906976994</v>
      </c>
    </row>
    <row r="13" spans="1:6" x14ac:dyDescent="0.25">
      <c r="A13">
        <v>142.42480620155101</v>
      </c>
      <c r="B13">
        <v>0.31</v>
      </c>
      <c r="C13">
        <v>10.2387596899225</v>
      </c>
      <c r="D13">
        <v>131.725581395349</v>
      </c>
      <c r="E13">
        <v>8.2697674418604805</v>
      </c>
      <c r="F13">
        <v>7.67906976744188</v>
      </c>
    </row>
    <row r="14" spans="1:6" x14ac:dyDescent="0.25">
      <c r="A14">
        <v>132.42480620155101</v>
      </c>
      <c r="B14">
        <v>0.36</v>
      </c>
      <c r="C14">
        <v>9.25426356589149</v>
      </c>
      <c r="D14">
        <v>127.196899224807</v>
      </c>
      <c r="E14">
        <v>7.8759689922480796</v>
      </c>
      <c r="F14">
        <v>6.1038759689922601</v>
      </c>
    </row>
    <row r="15" spans="1:6" x14ac:dyDescent="0.25">
      <c r="A15">
        <v>122.42480620155099</v>
      </c>
      <c r="B15">
        <v>0.37</v>
      </c>
      <c r="C15">
        <v>8.6635658914728904</v>
      </c>
      <c r="D15">
        <v>121.28992248062001</v>
      </c>
      <c r="E15">
        <v>7.4821705426356804</v>
      </c>
      <c r="F15">
        <v>4.5286821705426501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BB4D-1BE1-4D10-874F-C85F05D1FB9A}">
  <dimension ref="A1:F19"/>
  <sheetViews>
    <sheetView workbookViewId="0">
      <selection activeCell="J32" sqref="J32"/>
    </sheetView>
  </sheetViews>
  <sheetFormatPr defaultRowHeight="15" x14ac:dyDescent="0.25"/>
  <sheetData>
    <row r="1" spans="1:6" x14ac:dyDescent="0.2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v>322.86491646778097</v>
      </c>
      <c r="B2">
        <v>0</v>
      </c>
      <c r="C2">
        <v>20.065393794749401</v>
      </c>
      <c r="D2">
        <v>182.22529832935501</v>
      </c>
      <c r="E2">
        <v>22.399284009546498</v>
      </c>
      <c r="F2">
        <v>79.746300715990401</v>
      </c>
    </row>
    <row r="3" spans="1:6" x14ac:dyDescent="0.25">
      <c r="A3">
        <v>312.86491646778097</v>
      </c>
      <c r="B3">
        <v>0.02</v>
      </c>
      <c r="C3">
        <v>19.641050119331702</v>
      </c>
      <c r="D3">
        <v>181.98281622911699</v>
      </c>
      <c r="E3">
        <v>20.8231503579952</v>
      </c>
      <c r="F3">
        <v>67.622195704057205</v>
      </c>
    </row>
    <row r="4" spans="1:6" x14ac:dyDescent="0.25">
      <c r="A4">
        <v>302.86491646778097</v>
      </c>
      <c r="B4">
        <v>0.02</v>
      </c>
      <c r="C4">
        <v>19.2773269689737</v>
      </c>
      <c r="D4">
        <v>181.19474940334101</v>
      </c>
      <c r="E4">
        <v>21.217183770883</v>
      </c>
      <c r="F4">
        <v>42.4343675417661</v>
      </c>
    </row>
    <row r="5" spans="1:6" x14ac:dyDescent="0.25">
      <c r="A5">
        <v>292.86491646778097</v>
      </c>
      <c r="B5">
        <v>0.03</v>
      </c>
      <c r="C5">
        <v>18.004295942720699</v>
      </c>
      <c r="D5">
        <v>182.40715990453401</v>
      </c>
      <c r="E5">
        <v>19.1863961813842</v>
      </c>
      <c r="F5">
        <v>41.252267303102599</v>
      </c>
    </row>
    <row r="6" spans="1:6" x14ac:dyDescent="0.25">
      <c r="A6">
        <v>282.86491646778097</v>
      </c>
      <c r="B6">
        <v>0.05</v>
      </c>
      <c r="C6">
        <v>17.1556085918854</v>
      </c>
      <c r="D6">
        <v>182.49809069212401</v>
      </c>
      <c r="E6">
        <v>17.428400954653899</v>
      </c>
      <c r="F6">
        <v>31.6439140811455</v>
      </c>
    </row>
    <row r="7" spans="1:6" x14ac:dyDescent="0.25">
      <c r="A7">
        <v>272.86491646778097</v>
      </c>
      <c r="B7">
        <v>0.06</v>
      </c>
      <c r="C7">
        <v>16.034128878281599</v>
      </c>
      <c r="D7">
        <v>183.31646778042901</v>
      </c>
      <c r="E7">
        <v>17.185918854415299</v>
      </c>
      <c r="F7">
        <v>31.4620525059666</v>
      </c>
    </row>
    <row r="8" spans="1:6" x14ac:dyDescent="0.25">
      <c r="A8">
        <v>262.86491646778097</v>
      </c>
      <c r="B8">
        <v>0.06</v>
      </c>
      <c r="C8">
        <v>15.246062052506</v>
      </c>
      <c r="D8">
        <v>182.922434367542</v>
      </c>
      <c r="E8">
        <v>17.185918854415299</v>
      </c>
      <c r="F8">
        <v>29.370644391408099</v>
      </c>
    </row>
    <row r="9" spans="1:6" x14ac:dyDescent="0.25">
      <c r="A9">
        <v>252.864916467781</v>
      </c>
      <c r="B9">
        <v>0.08</v>
      </c>
      <c r="C9">
        <v>14.5489260143198</v>
      </c>
      <c r="D9">
        <v>179.64892601432001</v>
      </c>
      <c r="E9">
        <v>16.034128878281599</v>
      </c>
      <c r="F9">
        <v>26.460859188544099</v>
      </c>
    </row>
    <row r="10" spans="1:6" x14ac:dyDescent="0.25">
      <c r="A10">
        <v>242.864916467781</v>
      </c>
      <c r="B10">
        <v>0.09</v>
      </c>
      <c r="C10">
        <v>13.760859188544099</v>
      </c>
      <c r="D10">
        <v>178.10310262529799</v>
      </c>
      <c r="E10">
        <v>15.761336515513101</v>
      </c>
      <c r="F10">
        <v>24.005727923627699</v>
      </c>
    </row>
    <row r="11" spans="1:6" x14ac:dyDescent="0.25">
      <c r="A11">
        <v>232.864916467781</v>
      </c>
      <c r="B11">
        <v>0.1</v>
      </c>
      <c r="C11">
        <v>13.0940334128878</v>
      </c>
      <c r="D11">
        <v>177.52720763723099</v>
      </c>
      <c r="E11">
        <v>14.457995226730301</v>
      </c>
      <c r="F11">
        <v>16.8221957040573</v>
      </c>
    </row>
    <row r="12" spans="1:6" x14ac:dyDescent="0.25">
      <c r="A12">
        <v>222.864916467781</v>
      </c>
      <c r="B12">
        <v>0.12</v>
      </c>
      <c r="C12">
        <v>12.8515513126491</v>
      </c>
      <c r="D12">
        <v>176.648210023866</v>
      </c>
      <c r="E12">
        <v>13.518377088305501</v>
      </c>
      <c r="F12">
        <v>14.3973747016706</v>
      </c>
    </row>
    <row r="13" spans="1:6" x14ac:dyDescent="0.25">
      <c r="A13">
        <v>212.864916467781</v>
      </c>
      <c r="B13">
        <v>0.15</v>
      </c>
      <c r="C13">
        <v>12.7606205250597</v>
      </c>
      <c r="D13">
        <v>174.253699284009</v>
      </c>
      <c r="E13">
        <v>12.215035799522701</v>
      </c>
      <c r="F13">
        <v>10.1236276849642</v>
      </c>
    </row>
    <row r="14" spans="1:6" x14ac:dyDescent="0.25">
      <c r="A14">
        <v>202.864916467781</v>
      </c>
      <c r="B14">
        <v>0.18</v>
      </c>
      <c r="C14">
        <v>12.6393794749403</v>
      </c>
      <c r="D14">
        <v>168.434128878281</v>
      </c>
      <c r="E14">
        <v>11.5785202863962</v>
      </c>
      <c r="F14">
        <v>9.3355608591885293</v>
      </c>
    </row>
    <row r="15" spans="1:6" x14ac:dyDescent="0.25">
      <c r="A15">
        <v>192.864916467781</v>
      </c>
      <c r="B15">
        <v>0.21</v>
      </c>
      <c r="C15">
        <v>12.3665871121718</v>
      </c>
      <c r="D15">
        <v>164.008830548926</v>
      </c>
      <c r="E15">
        <v>11.2754176610978</v>
      </c>
      <c r="F15">
        <v>7.8200477326968896</v>
      </c>
    </row>
    <row r="16" spans="1:6" x14ac:dyDescent="0.25">
      <c r="A16">
        <v>182.864916467781</v>
      </c>
      <c r="B16">
        <v>0.27</v>
      </c>
      <c r="C16">
        <v>12.093794749403299</v>
      </c>
      <c r="D16">
        <v>161.09904534606201</v>
      </c>
      <c r="E16">
        <v>10.0023866348449</v>
      </c>
      <c r="F16">
        <v>7.3957040572792296</v>
      </c>
    </row>
    <row r="17" spans="1:6" x14ac:dyDescent="0.25">
      <c r="A17">
        <v>172.864916467781</v>
      </c>
      <c r="B17">
        <v>0.33</v>
      </c>
      <c r="C17">
        <v>10.9420047732697</v>
      </c>
      <c r="D17">
        <v>157.61336515513099</v>
      </c>
      <c r="E17">
        <v>8.8202863961813804</v>
      </c>
      <c r="F17">
        <v>9.0324582338902104</v>
      </c>
    </row>
    <row r="18" spans="1:6" x14ac:dyDescent="0.25">
      <c r="A18">
        <v>162.864916467781</v>
      </c>
      <c r="B18">
        <v>0.38</v>
      </c>
      <c r="C18">
        <v>10.0326968973747</v>
      </c>
      <c r="D18">
        <v>152.49093078758901</v>
      </c>
      <c r="E18">
        <v>6.9107398568019001</v>
      </c>
      <c r="F18">
        <v>4.7587112171837704</v>
      </c>
    </row>
    <row r="19" spans="1:6" x14ac:dyDescent="0.25">
      <c r="A19">
        <v>152.864916467781</v>
      </c>
      <c r="B19">
        <v>0.42</v>
      </c>
      <c r="C19">
        <v>9.5477326968973593</v>
      </c>
      <c r="D19">
        <v>144.54964200477301</v>
      </c>
      <c r="E19">
        <v>6.7591885441527397</v>
      </c>
      <c r="F19">
        <v>4.06157517899761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F951AE-E697-47A7-B9F9-3476C074C6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30lb(ni=1,no=1)_T1 Marke</vt:lpstr>
      <vt:lpstr>30lb(ni=1,no=1_T2)</vt:lpstr>
      <vt:lpstr>30lb(ni=1,no=1_T3)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Akibul Islam</dc:creator>
  <cp:lastModifiedBy>Md. Akibul Islam</cp:lastModifiedBy>
  <dcterms:created xsi:type="dcterms:W3CDTF">2026-05-13T18:13:26Z</dcterms:created>
  <dcterms:modified xsi:type="dcterms:W3CDTF">2026-05-13T19:50:28Z</dcterms:modified>
</cp:coreProperties>
</file>